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Title" sheetId="1" state="visible" r:id="rId1"/>
    <sheet xmlns:r="http://schemas.openxmlformats.org/officeDocument/2006/relationships" name="15_Dashboard" sheetId="2" state="visible" r:id="rId2"/>
    <sheet xmlns:r="http://schemas.openxmlformats.org/officeDocument/2006/relationships" name="02_DocCtrl" sheetId="3" state="visible" r:id="rId3"/>
    <sheet xmlns:r="http://schemas.openxmlformats.org/officeDocument/2006/relationships" name="03_ItemDef" sheetId="4" state="visible" r:id="rId4"/>
    <sheet xmlns:r="http://schemas.openxmlformats.org/officeDocument/2006/relationships" name="04_StdMatrix" sheetId="5" state="visible" r:id="rId5"/>
    <sheet xmlns:r="http://schemas.openxmlformats.org/officeDocument/2006/relationships" name="05_OpEnv" sheetId="6" state="visible" r:id="rId6"/>
    <sheet xmlns:r="http://schemas.openxmlformats.org/officeDocument/2006/relationships" name="06_Hazards" sheetId="7" state="visible" r:id="rId7"/>
    <sheet xmlns:r="http://schemas.openxmlformats.org/officeDocument/2006/relationships" name="07_HARA" sheetId="8" state="visible" r:id="rId8"/>
    <sheet xmlns:r="http://schemas.openxmlformats.org/officeDocument/2006/relationships" name="08_FMEA" sheetId="9" state="visible" r:id="rId9"/>
    <sheet xmlns:r="http://schemas.openxmlformats.org/officeDocument/2006/relationships" name="09_FSC" sheetId="10" state="visible" r:id="rId10"/>
    <sheet xmlns:r="http://schemas.openxmlformats.org/officeDocument/2006/relationships" name="10_GSN" sheetId="11" state="visible" r:id="rId11"/>
    <sheet xmlns:r="http://schemas.openxmlformats.org/officeDocument/2006/relationships" name="11_Evidence" sheetId="12" state="visible" r:id="rId12"/>
    <sheet xmlns:r="http://schemas.openxmlformats.org/officeDocument/2006/relationships" name="12_Gaps" sheetId="13" state="visible" r:id="rId13"/>
    <sheet xmlns:r="http://schemas.openxmlformats.org/officeDocument/2006/relationships" name="13_Assumptions" sheetId="14" state="visible" r:id="rId14"/>
    <sheet xmlns:r="http://schemas.openxmlformats.org/officeDocument/2006/relationships" name="14_Reference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1F2D4D"/>
      <sz val="28"/>
    </font>
    <font>
      <b val="1"/>
      <color rgb="00008B8B"/>
      <sz val="14"/>
    </font>
    <font>
      <i val="1"/>
      <color rgb="00555555"/>
      <sz val="11"/>
    </font>
    <font>
      <name val="Calibri"/>
      <b val="1"/>
      <color rgb="00FFFFFF"/>
      <sz val="18"/>
    </font>
    <font>
      <name val="Calibri"/>
      <b val="1"/>
      <sz val="10"/>
    </font>
    <font>
      <name val="Calibri"/>
      <sz val="10"/>
    </font>
    <font>
      <b val="1"/>
      <color rgb="00FFFFFF"/>
    </font>
    <font>
      <name val="Calibri"/>
      <b val="1"/>
      <color rgb="00FFFFFF"/>
      <sz val="12"/>
    </font>
    <font>
      <name val="Calibri"/>
      <b val="1"/>
      <color rgb="001F2D4D"/>
      <sz val="11"/>
    </font>
    <font>
      <name val="Calibri"/>
      <i val="1"/>
      <color rgb="00555555"/>
      <sz val="9"/>
    </font>
    <font>
      <b val="1"/>
      <color rgb="001F2D4D"/>
      <sz val="14"/>
    </font>
  </fonts>
  <fills count="9">
    <fill>
      <patternFill/>
    </fill>
    <fill>
      <patternFill patternType="gray125"/>
    </fill>
    <fill>
      <patternFill patternType="solid">
        <fgColor rgb="001F2D4D"/>
      </patternFill>
    </fill>
    <fill>
      <patternFill patternType="solid">
        <fgColor rgb="00F4F6F8"/>
      </patternFill>
    </fill>
    <fill>
      <patternFill patternType="solid">
        <fgColor rgb="00C77800"/>
      </patternFill>
    </fill>
    <fill>
      <patternFill patternType="solid">
        <fgColor rgb="00008B8B"/>
      </patternFill>
    </fill>
    <fill>
      <patternFill patternType="solid">
        <fgColor rgb="00D5D8DC"/>
      </patternFill>
    </fill>
    <fill>
      <patternFill patternType="solid">
        <fgColor rgb="002E7D32"/>
      </patternFill>
    </fill>
    <fill>
      <patternFill patternType="solid">
        <fgColor rgb="00B22222"/>
      </patternFill>
    </fill>
  </fills>
  <borders count="2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7" fillId="4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Compliance status across 33 clauses</a:t>
            </a:r>
          </a:p>
        </rich>
      </tx>
    </title>
    <plotArea>
      <pieChart>
        <varyColors val="1"/>
        <ser>
          <idx val="0"/>
          <order val="0"/>
          <tx>
            <strRef>
              <f>'15_Dashboard'!C9</f>
            </strRef>
          </tx>
          <spPr>
            <a:ln xmlns:a="http://schemas.openxmlformats.org/drawingml/2006/main">
              <a:prstDash val="solid"/>
            </a:ln>
          </spPr>
          <cat>
            <numRef>
              <f>'15_Dashboard'!$B$10:$B$13</f>
            </numRef>
          </cat>
          <val>
            <numRef>
              <f>'15_Dashboard'!$C$10:$C$13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Open gaps by severity (28 total)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'15_Dashboard'!C21</f>
            </strRef>
          </tx>
          <spPr>
            <a:ln xmlns:a="http://schemas.openxmlformats.org/drawingml/2006/main">
              <a:prstDash val="solid"/>
            </a:ln>
          </spPr>
          <cat>
            <numRef>
              <f>'15_Dashboard'!$B$22:$B$25</f>
            </numRef>
          </cat>
          <val>
            <numRef>
              <f>'15_Dashboard'!$C$22:$C$25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Relative risk 1 (Low) to 4 (Very High)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'15_Dashboard'!C34</f>
            </strRef>
          </tx>
          <spPr>
            <a:ln xmlns:a="http://schemas.openxmlformats.org/drawingml/2006/main">
              <a:prstDash val="solid"/>
            </a:ln>
          </spPr>
          <cat>
            <numRef>
              <f>'15_Dashboard'!$B$35:$B$38</f>
            </numRef>
          </cat>
          <val>
            <numRef>
              <f>'15_Dashboard'!$C$35:$C$38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8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20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33</row>
      <rowOff>0</rowOff>
    </from>
    <ext cx="432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3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60" customWidth="1" min="3" max="3"/>
    <col width="4" customWidth="1" min="4" max="4"/>
  </cols>
  <sheetData>
    <row r="2" ht="6" customHeight="1"/>
    <row r="3">
      <c r="B3" s="1" t="inlineStr">
        <is>
          <t>ASIMOV v1</t>
        </is>
      </c>
    </row>
    <row r="4">
      <c r="B4" s="2" t="inlineStr">
        <is>
          <t>PRELIMINARY SAFETY CASE — CONCEPT PHASE</t>
        </is>
      </c>
    </row>
    <row r="5">
      <c r="B5" s="3" t="inlineStr">
        <is>
          <t>Open-Source Humanoid Robot · 1.2 m · 35 kg · 25 actuated DOF</t>
        </is>
      </c>
    </row>
    <row r="7">
      <c r="B7" s="4" t="inlineStr">
        <is>
          <t>Standards Framework</t>
        </is>
      </c>
    </row>
    <row r="8">
      <c r="B8" s="5" t="inlineStr">
        <is>
          <t>ISO 12100:2010</t>
        </is>
      </c>
      <c r="C8" s="6" t="inlineStr">
        <is>
          <t>Safety of machinery — General principles for design, risk assessment and risk reduction</t>
        </is>
      </c>
    </row>
    <row r="9">
      <c r="B9" s="5" t="inlineStr">
        <is>
          <t>ISO 10218-1:2011</t>
        </is>
      </c>
      <c r="C9" s="6" t="inlineStr">
        <is>
          <t>Robots and robotic devices — Safety requirements (industrial robots, Part 1: robot)</t>
        </is>
      </c>
    </row>
    <row r="10">
      <c r="B10" s="5" t="inlineStr">
        <is>
          <t>ISO 10218-2:2011</t>
        </is>
      </c>
      <c r="C10" s="6" t="inlineStr">
        <is>
          <t>Safety requirements — Part 2: robot system and integration</t>
        </is>
      </c>
    </row>
    <row r="11">
      <c r="B11" s="5" t="inlineStr">
        <is>
          <t>ISO/TS 15066:2016</t>
        </is>
      </c>
      <c r="C11" s="6" t="inlineStr">
        <is>
          <t>Robots and robotic devices — Collaborative robots (informative reference)</t>
        </is>
      </c>
    </row>
    <row r="12">
      <c r="B12" s="5" t="inlineStr">
        <is>
          <t>ISO 13849-1:2023</t>
        </is>
      </c>
      <c r="C12" s="6" t="inlineStr">
        <is>
          <t>Safety-related parts of control systems — Part 1: General principles for design</t>
        </is>
      </c>
    </row>
    <row r="13">
      <c r="B13" s="5" t="inlineStr">
        <is>
          <t>ISO 13849-2:2012</t>
        </is>
      </c>
      <c r="C13" s="6" t="inlineStr">
        <is>
          <t>Safety-related parts of control systems — Part 2: Validation</t>
        </is>
      </c>
    </row>
    <row r="14">
      <c r="B14" s="5" t="inlineStr">
        <is>
          <t>ISO 13482:2014</t>
        </is>
      </c>
      <c r="C14" s="6" t="inlineStr">
        <is>
          <t>Robots and robotic devices — Safety requirements for personal care robots</t>
        </is>
      </c>
    </row>
    <row r="15">
      <c r="B15" s="5" t="inlineStr">
        <is>
          <t>ISO 9001:2015</t>
        </is>
      </c>
      <c r="C15" s="6" t="inlineStr">
        <is>
          <t>Quality management systems — Requirements</t>
        </is>
      </c>
    </row>
    <row r="16">
      <c r="B16" s="5" t="inlineStr">
        <is>
          <t>ISO 14971:2019 (ref.)</t>
        </is>
      </c>
      <c r="C16" s="6" t="inlineStr">
        <is>
          <t>Application of risk management to medical devices (referenced for technique only)</t>
        </is>
      </c>
    </row>
    <row r="17">
      <c r="B17" s="5" t="inlineStr">
        <is>
          <t>IEC 60204-1:2018 (ref.)</t>
        </is>
      </c>
      <c r="C17" s="6" t="inlineStr">
        <is>
          <t>Safety of machinery — Electrical equipment of machines</t>
        </is>
      </c>
    </row>
    <row r="18">
      <c r="B18" s="5" t="inlineStr">
        <is>
          <t>IEC 62133-2:2017 (ref.)</t>
        </is>
      </c>
      <c r="C18" s="6" t="inlineStr">
        <is>
          <t>Secondary cells &amp; batteries containing alkaline / non-acid electrolytes — safety</t>
        </is>
      </c>
    </row>
    <row r="20">
      <c r="B20" s="4" t="inlineStr">
        <is>
          <t>Item Under Assessment</t>
        </is>
      </c>
    </row>
    <row r="21">
      <c r="B21" s="5" t="inlineStr">
        <is>
          <t>Item name</t>
        </is>
      </c>
      <c r="C21" s="6" t="inlineStr">
        <is>
          <t>Asimov v1 (open-source humanoid robot)</t>
        </is>
      </c>
    </row>
    <row r="22">
      <c r="B22" s="5" t="inlineStr">
        <is>
          <t>Source repository</t>
        </is>
      </c>
      <c r="C22" s="6" t="inlineStr">
        <is>
          <t>https://github.com/jherrodthomas/asimov-v1 (fork of asimovinc/asimov-v1)</t>
        </is>
      </c>
    </row>
    <row r="23">
      <c r="B23" s="5" t="inlineStr">
        <is>
          <t>Manual</t>
        </is>
      </c>
      <c r="C23" s="6" t="inlineStr">
        <is>
          <t>https://manual.asimov.inc/v1</t>
        </is>
      </c>
    </row>
    <row r="24">
      <c r="B24" s="5" t="inlineStr">
        <is>
          <t>Hardware licence</t>
        </is>
      </c>
      <c r="C24" s="6" t="inlineStr">
        <is>
          <t>CERN-OHL-S-2.0 (Strongly Reciprocal)</t>
        </is>
      </c>
    </row>
    <row r="25">
      <c r="B25" s="5" t="inlineStr">
        <is>
          <t>Software licence</t>
        </is>
      </c>
      <c r="C25" s="6" t="inlineStr">
        <is>
          <t>GPL-2.0</t>
        </is>
      </c>
    </row>
    <row r="26">
      <c r="B26" s="5" t="inlineStr">
        <is>
          <t>Maturity</t>
        </is>
      </c>
      <c r="C26" s="6" t="inlineStr">
        <is>
          <t>Concept / DIY-kit pre-release. Locomotion policy and Asimov API marked '🔜'.</t>
        </is>
      </c>
    </row>
    <row r="27">
      <c r="B27" s="5" t="inlineStr">
        <is>
          <t>Document type</t>
        </is>
      </c>
      <c r="C27" s="6" t="inlineStr">
        <is>
          <t>Preliminary Safety Case (concept phase) + Gap Register</t>
        </is>
      </c>
    </row>
    <row r="28">
      <c r="B28" s="5" t="inlineStr">
        <is>
          <t>Document ID</t>
        </is>
      </c>
      <c r="C28" s="6" t="inlineStr">
        <is>
          <t>ASV1-SC-CP-001</t>
        </is>
      </c>
    </row>
    <row r="29">
      <c r="B29" s="5" t="inlineStr">
        <is>
          <t>Revision</t>
        </is>
      </c>
      <c r="C29" s="6" t="inlineStr">
        <is>
          <t>0.1 (draft)</t>
        </is>
      </c>
    </row>
    <row r="30">
      <c r="B30" s="5" t="inlineStr">
        <is>
          <t>Issue date</t>
        </is>
      </c>
      <c r="C30" s="6" t="inlineStr">
        <is>
          <t>2026-05-03</t>
        </is>
      </c>
    </row>
    <row r="31">
      <c r="B31" s="5" t="inlineStr">
        <is>
          <t>Author</t>
        </is>
      </c>
      <c r="C31" s="6" t="inlineStr">
        <is>
          <t>J. Herrod-Thomas (forker / assessor)</t>
        </is>
      </c>
    </row>
    <row r="32">
      <c r="B32" s="5" t="inlineStr">
        <is>
          <t>Confidentiality</t>
        </is>
      </c>
      <c r="C32" s="6" t="inlineStr">
        <is>
          <t>Public — distributed under CERN-OHL-S-2.0 reciprocity</t>
        </is>
      </c>
    </row>
    <row r="34">
      <c r="B34" s="7" t="inlineStr">
        <is>
          <t>Important notice — this is a preliminary safety case</t>
        </is>
      </c>
    </row>
    <row r="35" ht="110" customHeight="1">
      <c r="B35" s="8" t="inlineStr">
        <is>
          <t>This document does NOT certify Asimov v1 as safe to deploy. The upstream release publishes mechanical CAD, electrical schematics and a MuJoCo model only. It does NOT publish a HARA, FMEA, FMEDA, controller code, E-Stop validation, or battery management specification. The argument structure below is a SCAFFOLD populated with concept-level evidence; every leaf claim links to the Gap Register (Tab 12) where the missing work product is recorded. Deployment beyond a supervised, tethered laboratory setting requires closure of the high-severity gaps before any safety conclusion can be drawn.</t>
        </is>
      </c>
    </row>
  </sheetData>
  <mergeCells count="7">
    <mergeCell ref="B7:C7"/>
    <mergeCell ref="B3:C3"/>
    <mergeCell ref="B5:C5"/>
    <mergeCell ref="B20:C20"/>
    <mergeCell ref="B34:C34"/>
    <mergeCell ref="B35:C35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G3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2">
      <c r="B2" s="4" t="inlineStr">
        <is>
          <t>Safety Case KPI Dashboard</t>
        </is>
      </c>
    </row>
    <row r="4">
      <c r="B4" s="9" t="inlineStr">
        <is>
          <t>Hazards identified</t>
        </is>
      </c>
      <c r="C4" s="9" t="inlineStr">
        <is>
          <t>Safety functions</t>
        </is>
      </c>
      <c r="D4" s="9" t="inlineStr">
        <is>
          <t>Standards covered</t>
        </is>
      </c>
      <c r="E4" s="10" t="inlineStr">
        <is>
          <t>Open gaps</t>
        </is>
      </c>
      <c r="F4" s="11" t="inlineStr">
        <is>
          <t>Very-high gaps</t>
        </is>
      </c>
      <c r="G4" s="12" t="inlineStr">
        <is>
          <t>Provisional accept</t>
        </is>
      </c>
    </row>
    <row r="5" ht="28" customHeight="1">
      <c r="B5" s="13" t="inlineStr">
        <is>
          <t>32</t>
        </is>
      </c>
      <c r="C5" s="13" t="inlineStr">
        <is>
          <t>25</t>
        </is>
      </c>
      <c r="D5" s="13" t="inlineStr">
        <is>
          <t>5 + 3 ref.</t>
        </is>
      </c>
      <c r="E5" s="13" t="inlineStr">
        <is>
          <t>28</t>
        </is>
      </c>
      <c r="F5" s="13" t="inlineStr">
        <is>
          <t>11</t>
        </is>
      </c>
      <c r="G5" s="13" t="inlineStr">
        <is>
          <t>OE-1 only</t>
        </is>
      </c>
    </row>
    <row r="8">
      <c r="B8" s="14" t="inlineStr">
        <is>
          <t>Standards compliance (count of clauses)</t>
        </is>
      </c>
    </row>
    <row r="9">
      <c r="A9" s="15" t="inlineStr"/>
      <c r="B9" s="15" t="inlineStr">
        <is>
          <t>Status</t>
        </is>
      </c>
      <c r="C9" s="15" t="inlineStr">
        <is>
          <t>Count</t>
        </is>
      </c>
    </row>
    <row r="10">
      <c r="B10" s="16" t="inlineStr">
        <is>
          <t>Met (concept)</t>
        </is>
      </c>
      <c r="C10" s="17" t="n">
        <v>6</v>
      </c>
    </row>
    <row r="11">
      <c r="B11" s="16" t="inlineStr">
        <is>
          <t>Partial</t>
        </is>
      </c>
      <c r="C11" s="17" t="n">
        <v>9</v>
      </c>
    </row>
    <row r="12">
      <c r="B12" s="16" t="inlineStr">
        <is>
          <t>Not met</t>
        </is>
      </c>
      <c r="C12" s="17" t="n">
        <v>16</v>
      </c>
    </row>
    <row r="13">
      <c r="B13" s="16" t="inlineStr">
        <is>
          <t>Deferred</t>
        </is>
      </c>
      <c r="C13" s="17" t="n">
        <v>2</v>
      </c>
    </row>
    <row r="20">
      <c r="B20" s="14" t="inlineStr">
        <is>
          <t>Gap severity profile</t>
        </is>
      </c>
    </row>
    <row r="21">
      <c r="A21" s="15" t="inlineStr"/>
      <c r="B21" s="15" t="inlineStr">
        <is>
          <t>Severity</t>
        </is>
      </c>
      <c r="C21" s="15" t="inlineStr">
        <is>
          <t>Count</t>
        </is>
      </c>
    </row>
    <row r="22">
      <c r="B22" s="16" t="inlineStr">
        <is>
          <t>VHigh</t>
        </is>
      </c>
      <c r="C22" s="17" t="n">
        <v>11</v>
      </c>
    </row>
    <row r="23">
      <c r="B23" s="16" t="inlineStr">
        <is>
          <t>High</t>
        </is>
      </c>
      <c r="C23" s="17" t="n">
        <v>8</v>
      </c>
    </row>
    <row r="24">
      <c r="B24" s="16" t="inlineStr">
        <is>
          <t>Med</t>
        </is>
      </c>
      <c r="C24" s="17" t="n">
        <v>7</v>
      </c>
    </row>
    <row r="25">
      <c r="B25" s="16" t="inlineStr">
        <is>
          <t>Low</t>
        </is>
      </c>
      <c r="C25" s="17" t="n">
        <v>2</v>
      </c>
    </row>
    <row r="33">
      <c r="B33" s="14" t="inlineStr">
        <is>
          <t>Risk profile by op envelope</t>
        </is>
      </c>
    </row>
    <row r="34">
      <c r="A34" s="15" t="inlineStr"/>
      <c r="B34" s="15" t="inlineStr">
        <is>
          <t>Envelope</t>
        </is>
      </c>
      <c r="C34" s="15" t="inlineStr">
        <is>
          <t>Risk</t>
        </is>
      </c>
    </row>
    <row r="35">
      <c r="B35" s="16" t="inlineStr">
        <is>
          <t>OE-1 Lab</t>
        </is>
      </c>
      <c r="C35" s="17" t="inlineStr">
        <is>
          <t>1</t>
        </is>
      </c>
    </row>
    <row r="36">
      <c r="B36" s="16" t="inlineStr">
        <is>
          <t>OE-2 Industrial</t>
        </is>
      </c>
      <c r="C36" s="17" t="inlineStr">
        <is>
          <t>2</t>
        </is>
      </c>
    </row>
    <row r="37">
      <c r="B37" s="16" t="inlineStr">
        <is>
          <t>OE-3 Home</t>
        </is>
      </c>
      <c r="C37" s="17" t="inlineStr">
        <is>
          <t>3</t>
        </is>
      </c>
    </row>
    <row r="38">
      <c r="B38" s="16" t="inlineStr">
        <is>
          <t>OE-4 Public</t>
        </is>
      </c>
      <c r="C38" s="17" t="inlineStr">
        <is>
          <t>4</t>
        </is>
      </c>
    </row>
  </sheetData>
  <mergeCells count="1">
    <mergeCell ref="B2:G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F1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4" customWidth="1" min="3" max="3"/>
    <col width="22" customWidth="1" min="4" max="4"/>
    <col width="60" customWidth="1" min="5" max="5"/>
    <col width="14" customWidth="1" min="6" max="6"/>
  </cols>
  <sheetData>
    <row r="2">
      <c r="B2" s="4" t="inlineStr">
        <is>
          <t>Document Control &amp; Revision History</t>
        </is>
      </c>
    </row>
    <row r="4">
      <c r="A4" s="15" t="inlineStr"/>
      <c r="B4" s="15" t="inlineStr">
        <is>
          <t>Rev</t>
        </is>
      </c>
      <c r="C4" s="15" t="inlineStr">
        <is>
          <t>Date</t>
        </is>
      </c>
      <c r="D4" s="15" t="inlineStr">
        <is>
          <t>Author</t>
        </is>
      </c>
      <c r="E4" s="15" t="inlineStr">
        <is>
          <t>Change description</t>
        </is>
      </c>
      <c r="F4" s="15" t="inlineStr">
        <is>
          <t>Status</t>
        </is>
      </c>
    </row>
    <row r="5">
      <c r="A5" s="6" t="inlineStr"/>
      <c r="B5" s="6" t="inlineStr">
        <is>
          <t>0.1</t>
        </is>
      </c>
      <c r="C5" s="6" t="inlineStr">
        <is>
          <t>2026-05-03</t>
        </is>
      </c>
      <c r="D5" s="6" t="inlineStr">
        <is>
          <t>J. Herrod-Thomas</t>
        </is>
      </c>
      <c r="E5" s="6" t="inlineStr">
        <is>
          <t>Initial issue. Concept-phase scaffold with item definition, hazard catalogue, HARA across 4 op-envelopes, system FMEA, FSC, GSN argument, evidence register, gap register.</t>
        </is>
      </c>
      <c r="F5" s="6" t="inlineStr">
        <is>
          <t>Draft</t>
        </is>
      </c>
    </row>
    <row r="9">
      <c r="B9" s="18" t="inlineStr">
        <is>
          <t>Distribution &amp; Approvals (TO BE FILLED)</t>
        </is>
      </c>
    </row>
    <row r="10">
      <c r="A10" s="19" t="inlineStr"/>
      <c r="B10" s="19" t="inlineStr">
        <is>
          <t>Role</t>
        </is>
      </c>
      <c r="C10" s="19" t="inlineStr">
        <is>
          <t>Name</t>
        </is>
      </c>
      <c r="D10" s="19" t="inlineStr">
        <is>
          <t>Function / Org</t>
        </is>
      </c>
      <c r="E10" s="19" t="inlineStr">
        <is>
          <t>Responsibility</t>
        </is>
      </c>
      <c r="F10" s="19" t="inlineStr">
        <is>
          <t>Signature / date</t>
        </is>
      </c>
    </row>
    <row r="11">
      <c r="B11" s="16" t="inlineStr">
        <is>
          <t>Author</t>
        </is>
      </c>
      <c r="C11" s="6" t="inlineStr">
        <is>
          <t>—</t>
        </is>
      </c>
      <c r="D11" s="6" t="inlineStr">
        <is>
          <t>Self / fork maintainer</t>
        </is>
      </c>
      <c r="E11" s="6" t="inlineStr">
        <is>
          <t>Drafted concept-phase safety case</t>
        </is>
      </c>
      <c r="F11" s="6" t="inlineStr"/>
    </row>
    <row r="12">
      <c r="B12" s="16" t="inlineStr">
        <is>
          <t>Independent reviewer</t>
        </is>
      </c>
      <c r="C12" s="6" t="inlineStr">
        <is>
          <t>—</t>
        </is>
      </c>
      <c r="D12" s="6" t="inlineStr">
        <is>
          <t>TBD (independent of author)</t>
        </is>
      </c>
      <c r="E12" s="6" t="inlineStr">
        <is>
          <t>Confirmation review per ISO 13849-2 §5</t>
        </is>
      </c>
      <c r="F12" s="6" t="inlineStr"/>
    </row>
    <row r="13">
      <c r="B13" s="16" t="inlineStr">
        <is>
          <t>Project safety officer</t>
        </is>
      </c>
      <c r="C13" s="6" t="inlineStr">
        <is>
          <t>—</t>
        </is>
      </c>
      <c r="D13" s="6" t="inlineStr">
        <is>
          <t>TBD</t>
        </is>
      </c>
      <c r="E13" s="6" t="inlineStr">
        <is>
          <t>ISO 12100 §6 risk-reduction adequacy</t>
        </is>
      </c>
      <c r="F13" s="6" t="inlineStr"/>
    </row>
    <row r="14">
      <c r="B14" s="16" t="inlineStr">
        <is>
          <t>Quality (ISO 9001)</t>
        </is>
      </c>
      <c r="C14" s="6" t="inlineStr">
        <is>
          <t>—</t>
        </is>
      </c>
      <c r="D14" s="6" t="inlineStr">
        <is>
          <t>TBD</t>
        </is>
      </c>
      <c r="E14" s="6" t="inlineStr">
        <is>
          <t>Document control, records, calibration evidence</t>
        </is>
      </c>
      <c r="F14" s="6" t="inlineStr"/>
    </row>
    <row r="15">
      <c r="B15" s="16" t="inlineStr">
        <is>
          <t>Operational owner</t>
        </is>
      </c>
      <c r="C15" s="6" t="inlineStr">
        <is>
          <t>—</t>
        </is>
      </c>
      <c r="D15" s="6" t="inlineStr">
        <is>
          <t>Deploying organisation</t>
        </is>
      </c>
      <c r="E15" s="6" t="inlineStr">
        <is>
          <t>Accepts residual risk per declared envelope</t>
        </is>
      </c>
      <c r="F15" s="6" t="inlineStr"/>
    </row>
  </sheetData>
  <mergeCells count="2">
    <mergeCell ref="B2:F2"/>
    <mergeCell ref="B9:F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C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70" customWidth="1" min="3" max="3"/>
  </cols>
  <sheetData>
    <row r="2">
      <c r="B2" s="4" t="inlineStr">
        <is>
          <t>Item Definition (ISO 12100 §5 — Determination of limits of the machinery)</t>
        </is>
      </c>
    </row>
    <row r="4" ht="64" customHeight="1">
      <c r="B4" s="5" t="inlineStr">
        <is>
          <t>Intended purpose</t>
        </is>
      </c>
      <c r="C4" s="6" t="inlineStr">
        <is>
          <t>Open-source humanoid robotic platform intended for research, education and DIY assembly. Functions sold to enable: bipedal locomotion (subject to future policy release), upper-body manipulation (hands not included in v1), tele-operation via WebRTC, and on-board sensing (monocular camera, IMU, microphone array).</t>
        </is>
      </c>
    </row>
    <row r="5" ht="80" customHeight="1">
      <c r="B5" s="5" t="inlineStr">
        <is>
          <t>Use limits</t>
        </is>
      </c>
      <c r="C5" s="6" t="inlineStr">
        <is>
          <t>(a) Lifetime: not specified by upstream. (b) Intended users: trained assemblers, researchers, robotics enthusiasts. (c) Reasonably foreseeable misuse — under ISO 12100 §5.3 — includes: operation by untrained users, operation around children/pets, operation outdoors on uneven terrain, operation without wireless E-Stop in arm's reach, operation with damaged 7075 structural parts, charging with non-OEM battery, modification of joint torque limits.</t>
        </is>
      </c>
    </row>
    <row r="6" ht="48" customHeight="1">
      <c r="B6" s="5" t="inlineStr">
        <is>
          <t>Space limits</t>
        </is>
      </c>
      <c r="C6" s="6" t="inlineStr">
        <is>
          <t>Standing footprint approx 0.4 m × 0.3 m. Reach envelope ≈ 1.5 m diameter sphere centred on torso. Vertical envelope 0 m–2.0 m (overhead reach). 35 kg falling body — kinetic energy at free-fall from 1.2 m ≈ 411 J (well above ISO 13482 §5.7 contact-energy thresholds).</t>
        </is>
      </c>
    </row>
    <row r="7" ht="48" customHeight="1">
      <c r="B7" s="5" t="inlineStr">
        <is>
          <t>Time limits</t>
        </is>
      </c>
      <c r="C7" s="6" t="inlineStr">
        <is>
          <t>Battery and runtime are NOT specified by upstream — battery is explicitly excluded from the DIY kit. Mission duration is therefore undefined; assumed bounded by tether or user-supplied battery. Service life: unspecified. Maintenance interval: unspecified.</t>
        </is>
      </c>
    </row>
    <row r="8" ht="48" customHeight="1">
      <c r="B8" s="5" t="inlineStr">
        <is>
          <t>Environmental limits</t>
        </is>
      </c>
      <c r="C8" s="6" t="inlineStr">
        <is>
          <t>NOT specified by upstream. Reasonable engineering assumptions for the safety case: indoor, +10 °C to +35 °C, &lt; 80 %RH non-condensing, level floor (slope ≤ 5°), dry surface, no IP rating claimed (assume IPX0).</t>
        </is>
      </c>
    </row>
    <row r="9" ht="48" customHeight="1">
      <c r="B9" s="5" t="inlineStr">
        <is>
          <t>Boundaries (physical)</t>
        </is>
      </c>
      <c r="C9" s="6" t="inlineStr">
        <is>
          <t>Mechanical envelope per ASV1_100…ASV1_700 STEP files. Electrical envelope: Motion Control Board (Radxa CM5 carrier), RPi5 edge board, Power Distribution Board, six CAN buses (5 × 1 Mbps + 1 × 500 kbps), wiring harness per WireViz.</t>
        </is>
      </c>
    </row>
    <row r="10" ht="48" customHeight="1">
      <c r="B10" s="5" t="inlineStr">
        <is>
          <t>Boundaries (information)</t>
        </is>
      </c>
      <c r="C10" s="6" t="inlineStr">
        <is>
          <t>Inputs: tele-op commands via WebRTC DataChannel; on-board IMU, joint encoders, monocular camera, quad-mic array. Outputs: joint torque/position commands, audio (10 W speaker), video. External interfaces: charger (user-supplied), wireless E-Stop receiver, optional 4G/5G modem.</t>
        </is>
      </c>
    </row>
    <row r="11" ht="80" customHeight="1">
      <c r="B11" s="5" t="inlineStr">
        <is>
          <t>Functions of the item</t>
        </is>
      </c>
      <c r="C11" s="6" t="inlineStr">
        <is>
          <t>F-01 Stand: maintain bipedal balance. F-02 Walk: forward/backward/turn locomotion. F-03 Manipulate: upper-body reach (no end-effector in v1). F-04 Sense: stream camera + audio + IMU. F-05 Tele-op: accept commands over WebRTC. F-06 Damp: passive limp state on disconnect / watchdog timeout. F-07 Stand-up-from-pose: ramp to standing. F-08 E-Stop: removal of motor power on wireless trigger.</t>
        </is>
      </c>
    </row>
    <row r="12" ht="64" customHeight="1">
      <c r="B12" s="5" t="inlineStr">
        <is>
          <t>Operating modes (declared)</t>
        </is>
      </c>
      <c r="C12" s="6" t="inlineStr">
        <is>
          <t>M-01 DAMP — motors limp, safe default; entered on disconnect or E-Stop release. M-02 STAND — controller maintains standing pose; ramps over ~2 s. M-03 MOVE — accepts position/torque commands subject to (undocumented) joint limits. Transitions are gated by a command-processor watchdog.</t>
        </is>
      </c>
    </row>
    <row r="13" ht="80" customHeight="1">
      <c r="B13" s="5" t="inlineStr">
        <is>
          <t>Allocations (this assessment)</t>
        </is>
      </c>
      <c r="C13" s="6" t="inlineStr">
        <is>
          <t>Mechanical: 7075 Al machined parts, MJF PA12 nylon prints, off-the-shelf hardware. Electrical: MCB (Radxa CM5), RPi5 edge, PDB, harness. Software: command processor, mode FSM, watchdog, (future) locomotion policy, (future) Asimov API. Sensors: LSM6DSV 6-DOF IMU (on MCB), 2 MP camera, quad-mic, joint encoders. Safety: wireless E-Stop receiver (architecture undocumented), DAMP fallback.</t>
        </is>
      </c>
    </row>
    <row r="14" ht="112" customHeight="1">
      <c r="B14" s="5" t="inlineStr">
        <is>
          <t>Assumptions explicitly relied upon</t>
        </is>
      </c>
      <c r="C14" s="6" t="inlineStr">
        <is>
          <t>A-01 Operator is trained and within E-Stop range at all times in MOVE. A-02 Battery (when fitted) is a UN 38.3 / IEC 62133-2 compliant Li-ion pack with integrated BMS. A-03 The structure is built from genuine 7075 Al and Multi-Jet-Fusion PA12 with no substituted materials. A-04 The CAN harness is built per WireViz with correct termination. A-05 The operating surface is level, dry and free of obstacles. A-06 No human body part enters the swept volume of any actuated joint while M-02 or M-03. A-07 The robot is NOT a medical device, NOT a child-care robot, and NOT a load-bearing person-carrier.</t>
        </is>
      </c>
    </row>
  </sheetData>
  <mergeCells count="1">
    <mergeCell ref="B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F3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24" customWidth="1" min="3" max="3"/>
    <col width="36" customWidth="1" min="4" max="4"/>
    <col width="14" customWidth="1" min="5" max="5"/>
    <col width="36" customWidth="1" min="6" max="6"/>
  </cols>
  <sheetData>
    <row r="2">
      <c r="B2" s="4" t="inlineStr">
        <is>
          <t>Standards Compliance Matrix</t>
        </is>
      </c>
    </row>
    <row r="4">
      <c r="A4" s="15" t="inlineStr"/>
      <c r="B4" s="15" t="inlineStr">
        <is>
          <t>Standard / Clause</t>
        </is>
      </c>
      <c r="C4" s="15" t="inlineStr">
        <is>
          <t>Requirement (paraphrased)</t>
        </is>
      </c>
      <c r="D4" s="15" t="inlineStr">
        <is>
          <t>How this item addresses it</t>
        </is>
      </c>
      <c r="E4" s="15" t="inlineStr">
        <is>
          <t>Status</t>
        </is>
      </c>
      <c r="F4" s="15" t="inlineStr">
        <is>
          <t>Evidence ID / Gap ID</t>
        </is>
      </c>
    </row>
    <row r="5">
      <c r="B5" s="6" t="inlineStr">
        <is>
          <t>ISO 12100 §5</t>
        </is>
      </c>
      <c r="C5" s="6" t="inlineStr">
        <is>
          <t>Determination of limits of machinery</t>
        </is>
      </c>
      <c r="D5" s="6" t="inlineStr">
        <is>
          <t>Documented in tab 03_ItemDef across 11 sections.</t>
        </is>
      </c>
      <c r="E5" s="20" t="inlineStr">
        <is>
          <t>Met (concept)</t>
        </is>
      </c>
      <c r="F5" s="6" t="inlineStr">
        <is>
          <t>EV-IDEF-01</t>
        </is>
      </c>
    </row>
    <row r="6">
      <c r="B6" s="6" t="inlineStr">
        <is>
          <t>ISO 12100 §6.2</t>
        </is>
      </c>
      <c r="C6" s="6" t="inlineStr">
        <is>
          <t>Hazard identification</t>
        </is>
      </c>
      <c r="D6" s="6" t="inlineStr">
        <is>
          <t>Tab 06_Hazards combines ISO 12100 Annex B + ISO 13482 Annex A.</t>
        </is>
      </c>
      <c r="E6" s="20" t="inlineStr">
        <is>
          <t>Met (concept)</t>
        </is>
      </c>
      <c r="F6" s="6" t="inlineStr">
        <is>
          <t>EV-HZ-01</t>
        </is>
      </c>
    </row>
    <row r="7">
      <c r="B7" s="6" t="inlineStr">
        <is>
          <t>ISO 12100 §6.3</t>
        </is>
      </c>
      <c r="C7" s="6" t="inlineStr">
        <is>
          <t>Risk estimation</t>
        </is>
      </c>
      <c r="D7" s="6" t="inlineStr">
        <is>
          <t>Tab 07_HARA scores each hazard with S × F × P risk graph.</t>
        </is>
      </c>
      <c r="E7" s="20" t="inlineStr">
        <is>
          <t>Met (concept)</t>
        </is>
      </c>
      <c r="F7" s="6" t="inlineStr">
        <is>
          <t>EV-HARA-01</t>
        </is>
      </c>
    </row>
    <row r="8">
      <c r="B8" s="6" t="inlineStr">
        <is>
          <t>ISO 12100 §6.4</t>
        </is>
      </c>
      <c r="C8" s="6" t="inlineStr">
        <is>
          <t>Risk evaluation &amp; adequacy of risk reduction</t>
        </is>
      </c>
      <c r="D8" s="6" t="inlineStr">
        <is>
          <t>Tab 09_FSC defines safety functions; many gaps remain in evidence.</t>
        </is>
      </c>
      <c r="E8" s="21" t="inlineStr">
        <is>
          <t>Partial</t>
        </is>
      </c>
      <c r="F8" s="6" t="inlineStr">
        <is>
          <t>GAP-12100-01</t>
        </is>
      </c>
    </row>
    <row r="9">
      <c r="B9" s="6" t="inlineStr">
        <is>
          <t>ISO 12100 §6.5</t>
        </is>
      </c>
      <c r="C9" s="6" t="inlineStr">
        <is>
          <t>Three-step iterative risk reduction (inherent / safeguard / info)</t>
        </is>
      </c>
      <c r="D9" s="6" t="inlineStr">
        <is>
          <t>Strategy documented per hazard; physical safeguards mostly inherent design.</t>
        </is>
      </c>
      <c r="E9" s="21" t="inlineStr">
        <is>
          <t>Partial</t>
        </is>
      </c>
      <c r="F9" s="6" t="inlineStr">
        <is>
          <t>GAP-12100-02</t>
        </is>
      </c>
    </row>
    <row r="10">
      <c r="B10" s="6" t="inlineStr">
        <is>
          <t>ISO 10218-1 §5</t>
        </is>
      </c>
      <c r="C10" s="6" t="inlineStr">
        <is>
          <t>General requirements (industrial robot)</t>
        </is>
      </c>
      <c r="D10" s="6" t="inlineStr">
        <is>
          <t>Industrial robot mode would need single-fault tolerance &amp; safe-stop categories.</t>
        </is>
      </c>
      <c r="E10" s="22" t="inlineStr">
        <is>
          <t>Not met</t>
        </is>
      </c>
      <c r="F10" s="6" t="inlineStr">
        <is>
          <t>GAP-10218-01</t>
        </is>
      </c>
    </row>
    <row r="11">
      <c r="B11" s="6" t="inlineStr">
        <is>
          <t>ISO 10218-1 §5.4</t>
        </is>
      </c>
      <c r="C11" s="6" t="inlineStr">
        <is>
          <t>Performance requirement of safety control system</t>
        </is>
      </c>
      <c r="D11" s="6" t="inlineStr">
        <is>
          <t>Required PLd / Cat 3 not demonstrated; no validation evidence.</t>
        </is>
      </c>
      <c r="E11" s="22" t="inlineStr">
        <is>
          <t>Not met</t>
        </is>
      </c>
      <c r="F11" s="6" t="inlineStr">
        <is>
          <t>GAP-10218-02</t>
        </is>
      </c>
    </row>
    <row r="12">
      <c r="B12" s="6" t="inlineStr">
        <is>
          <t>ISO 10218-1 §5.5.3</t>
        </is>
      </c>
      <c r="C12" s="6" t="inlineStr">
        <is>
          <t>Protective stop function (Cat 0/1)</t>
        </is>
      </c>
      <c r="D12" s="6" t="inlineStr">
        <is>
          <t>Wireless E-Stop topology declared but architecture undocumented.</t>
        </is>
      </c>
      <c r="E12" s="22" t="inlineStr">
        <is>
          <t>Not met</t>
        </is>
      </c>
      <c r="F12" s="6" t="inlineStr">
        <is>
          <t>GAP-10218-03</t>
        </is>
      </c>
    </row>
    <row r="13">
      <c r="B13" s="6" t="inlineStr">
        <is>
          <t>ISO 10218-1 §5.10</t>
        </is>
      </c>
      <c r="C13" s="6" t="inlineStr">
        <is>
          <t>Collaborative operation requirements</t>
        </is>
      </c>
      <c r="D13" s="6" t="inlineStr">
        <is>
          <t>v1 has no force/torque limiting validated to ISO/TS 15066.</t>
        </is>
      </c>
      <c r="E13" s="22" t="inlineStr">
        <is>
          <t>Not met</t>
        </is>
      </c>
      <c r="F13" s="6" t="inlineStr">
        <is>
          <t>GAP-15066-01</t>
        </is>
      </c>
    </row>
    <row r="14">
      <c r="B14" s="6" t="inlineStr">
        <is>
          <t>ISO 10218-2 §5</t>
        </is>
      </c>
      <c r="C14" s="6" t="inlineStr">
        <is>
          <t>Robot system &amp; integration</t>
        </is>
      </c>
      <c r="D14" s="6" t="inlineStr">
        <is>
          <t>Out of scope — integrator responsibility, flagged in deployment notes.</t>
        </is>
      </c>
      <c r="E14" s="23" t="inlineStr">
        <is>
          <t>Deferred</t>
        </is>
      </c>
      <c r="F14" s="6" t="inlineStr">
        <is>
          <t>ASS-A-01</t>
        </is>
      </c>
    </row>
    <row r="15">
      <c r="B15" s="6" t="inlineStr">
        <is>
          <t>ISO 13849-1 §4.5</t>
        </is>
      </c>
      <c r="C15" s="6" t="inlineStr">
        <is>
          <t>PLr determination via risk graph</t>
        </is>
      </c>
      <c r="D15" s="6" t="inlineStr">
        <is>
          <t>Performed in tab 07_HARA per safety function.</t>
        </is>
      </c>
      <c r="E15" s="20" t="inlineStr">
        <is>
          <t>Met (concept)</t>
        </is>
      </c>
      <c r="F15" s="6" t="inlineStr">
        <is>
          <t>EV-PLR-01</t>
        </is>
      </c>
    </row>
    <row r="16">
      <c r="B16" s="6" t="inlineStr">
        <is>
          <t>ISO 13849-1 §6</t>
        </is>
      </c>
      <c r="C16" s="6" t="inlineStr">
        <is>
          <t>Categories B/1/2/3/4 — required architecture</t>
        </is>
      </c>
      <c r="D16" s="6" t="inlineStr">
        <is>
          <t>Targets allocated in tab 09_FSC; implementation evidence missing.</t>
        </is>
      </c>
      <c r="E16" s="21" t="inlineStr">
        <is>
          <t>Partial</t>
        </is>
      </c>
      <c r="F16" s="6" t="inlineStr">
        <is>
          <t>GAP-13849-01</t>
        </is>
      </c>
    </row>
    <row r="17">
      <c r="B17" s="6" t="inlineStr">
        <is>
          <t>ISO 13849-1 §7</t>
        </is>
      </c>
      <c r="C17" s="6" t="inlineStr">
        <is>
          <t>PL evaluation (MTTFD, DC, CCF)</t>
        </is>
      </c>
      <c r="D17" s="6" t="inlineStr">
        <is>
          <t>MTTFD per actuator NOT published by upstream; cannot compute.</t>
        </is>
      </c>
      <c r="E17" s="22" t="inlineStr">
        <is>
          <t>Not met</t>
        </is>
      </c>
      <c r="F17" s="6" t="inlineStr">
        <is>
          <t>GAP-13849-02</t>
        </is>
      </c>
    </row>
    <row r="18">
      <c r="B18" s="6" t="inlineStr">
        <is>
          <t>ISO 13849-2</t>
        </is>
      </c>
      <c r="C18" s="6" t="inlineStr">
        <is>
          <t>Validation (analysis + testing)</t>
        </is>
      </c>
      <c r="D18" s="6" t="inlineStr">
        <is>
          <t>No test report exists for any safety function.</t>
        </is>
      </c>
      <c r="E18" s="22" t="inlineStr">
        <is>
          <t>Not met</t>
        </is>
      </c>
      <c r="F18" s="6" t="inlineStr">
        <is>
          <t>GAP-13849-03</t>
        </is>
      </c>
    </row>
    <row r="19">
      <c r="B19" s="6" t="inlineStr">
        <is>
          <t>ISO 13482 §5.3</t>
        </is>
      </c>
      <c r="C19" s="6" t="inlineStr">
        <is>
          <t>Hazards for personal care robots</t>
        </is>
      </c>
      <c r="D19" s="6" t="inlineStr">
        <is>
          <t>Adopted as primary hazard catalogue in tab 06_Hazards.</t>
        </is>
      </c>
      <c r="E19" s="20" t="inlineStr">
        <is>
          <t>Met (concept)</t>
        </is>
      </c>
      <c r="F19" s="6" t="inlineStr">
        <is>
          <t>EV-HZ-02</t>
        </is>
      </c>
    </row>
    <row r="20">
      <c r="B20" s="6" t="inlineStr">
        <is>
          <t>ISO 13482 §5.7</t>
        </is>
      </c>
      <c r="C20" s="6" t="inlineStr">
        <is>
          <t>Limits to forces, pressures, energies</t>
        </is>
      </c>
      <c r="D20" s="6" t="inlineStr">
        <is>
          <t>Force/energy not validated; 35 kg falling mass exceeds typical limits.</t>
        </is>
      </c>
      <c r="E20" s="22" t="inlineStr">
        <is>
          <t>Not met</t>
        </is>
      </c>
      <c r="F20" s="6" t="inlineStr">
        <is>
          <t>GAP-13482-01</t>
        </is>
      </c>
    </row>
    <row r="21">
      <c r="B21" s="6" t="inlineStr">
        <is>
          <t>ISO 13482 §5.10</t>
        </is>
      </c>
      <c r="C21" s="6" t="inlineStr">
        <is>
          <t>Robot motion characteristics — speed, distance, momentum</t>
        </is>
      </c>
      <c r="D21" s="6" t="inlineStr">
        <is>
          <t>Joint speed/torque limits not declared in published docs.</t>
        </is>
      </c>
      <c r="E21" s="22" t="inlineStr">
        <is>
          <t>Not met</t>
        </is>
      </c>
      <c r="F21" s="6" t="inlineStr">
        <is>
          <t>GAP-13482-02</t>
        </is>
      </c>
    </row>
    <row r="22">
      <c r="B22" s="6" t="inlineStr">
        <is>
          <t>ISO 13482 §5.13</t>
        </is>
      </c>
      <c r="C22" s="6" t="inlineStr">
        <is>
          <t>Stability</t>
        </is>
      </c>
      <c r="D22" s="6" t="inlineStr">
        <is>
          <t>No tip-over analysis published.</t>
        </is>
      </c>
      <c r="E22" s="22" t="inlineStr">
        <is>
          <t>Not met</t>
        </is>
      </c>
      <c r="F22" s="6" t="inlineStr">
        <is>
          <t>GAP-13482-03</t>
        </is>
      </c>
    </row>
    <row r="23">
      <c r="B23" s="6" t="inlineStr">
        <is>
          <t>ISO 13482 §5.16</t>
        </is>
      </c>
      <c r="C23" s="6" t="inlineStr">
        <is>
          <t>E-Stop</t>
        </is>
      </c>
      <c r="D23" s="6" t="inlineStr">
        <is>
          <t>Wireless E-Stop included but architecture not specified.</t>
        </is>
      </c>
      <c r="E23" s="22" t="inlineStr">
        <is>
          <t>Not met</t>
        </is>
      </c>
      <c r="F23" s="6" t="inlineStr">
        <is>
          <t>GAP-13482-04</t>
        </is>
      </c>
    </row>
    <row r="24">
      <c r="B24" s="6" t="inlineStr">
        <is>
          <t>ISO 13482 §6</t>
        </is>
      </c>
      <c r="C24" s="6" t="inlineStr">
        <is>
          <t>Safety-related control system requirements</t>
        </is>
      </c>
      <c r="D24" s="6" t="inlineStr">
        <is>
          <t>PL/Cat allocation drafted; implementation gaps as 13849.</t>
        </is>
      </c>
      <c r="E24" s="21" t="inlineStr">
        <is>
          <t>Partial</t>
        </is>
      </c>
      <c r="F24" s="6" t="inlineStr">
        <is>
          <t>GAP-13482-05</t>
        </is>
      </c>
    </row>
    <row r="25">
      <c r="B25" s="6" t="inlineStr">
        <is>
          <t>ISO 13482 §7</t>
        </is>
      </c>
      <c r="C25" s="6" t="inlineStr">
        <is>
          <t>Verification &amp; validation</t>
        </is>
      </c>
      <c r="D25" s="6" t="inlineStr">
        <is>
          <t>Not performed.</t>
        </is>
      </c>
      <c r="E25" s="22" t="inlineStr">
        <is>
          <t>Not met</t>
        </is>
      </c>
      <c r="F25" s="6" t="inlineStr">
        <is>
          <t>GAP-13482-06</t>
        </is>
      </c>
    </row>
    <row r="26">
      <c r="B26" s="6" t="inlineStr">
        <is>
          <t>ISO 9001 §7.5</t>
        </is>
      </c>
      <c r="C26" s="6" t="inlineStr">
        <is>
          <t>Documented information control</t>
        </is>
      </c>
      <c r="D26" s="6" t="inlineStr">
        <is>
          <t>Repo uses git; revision control acceptable. Records of test, calibration, non-conformance NOT maintained.</t>
        </is>
      </c>
      <c r="E26" s="21" t="inlineStr">
        <is>
          <t>Partial</t>
        </is>
      </c>
      <c r="F26" s="6" t="inlineStr">
        <is>
          <t>GAP-9001-01</t>
        </is>
      </c>
    </row>
    <row r="27">
      <c r="B27" s="6" t="inlineStr">
        <is>
          <t>ISO 9001 §8.3</t>
        </is>
      </c>
      <c r="C27" s="6" t="inlineStr">
        <is>
          <t>Design &amp; development control</t>
        </is>
      </c>
      <c r="D27" s="6" t="inlineStr">
        <is>
          <t>No design review records, no design verification evidence published.</t>
        </is>
      </c>
      <c r="E27" s="22" t="inlineStr">
        <is>
          <t>Not met</t>
        </is>
      </c>
      <c r="F27" s="6" t="inlineStr">
        <is>
          <t>GAP-9001-02</t>
        </is>
      </c>
    </row>
    <row r="28">
      <c r="B28" s="6" t="inlineStr">
        <is>
          <t>ISO 9001 §8.5.1</t>
        </is>
      </c>
      <c r="C28" s="6" t="inlineStr">
        <is>
          <t>Control of production &amp; service provision</t>
        </is>
      </c>
      <c r="D28" s="6" t="inlineStr">
        <is>
          <t>DIY kit: process controls undeclared.</t>
        </is>
      </c>
      <c r="E28" s="22" t="inlineStr">
        <is>
          <t>Not met</t>
        </is>
      </c>
      <c r="F28" s="6" t="inlineStr">
        <is>
          <t>GAP-9001-03</t>
        </is>
      </c>
    </row>
    <row r="29">
      <c r="B29" s="6" t="inlineStr">
        <is>
          <t>ISO 9001 §8.7</t>
        </is>
      </c>
      <c r="C29" s="6" t="inlineStr">
        <is>
          <t>Control of nonconforming outputs</t>
        </is>
      </c>
      <c r="D29" s="6" t="inlineStr">
        <is>
          <t>No nonconformance procedure published.</t>
        </is>
      </c>
      <c r="E29" s="22" t="inlineStr">
        <is>
          <t>Not met</t>
        </is>
      </c>
      <c r="F29" s="6" t="inlineStr">
        <is>
          <t>GAP-9001-04</t>
        </is>
      </c>
    </row>
    <row r="30">
      <c r="B30" s="6" t="inlineStr">
        <is>
          <t>ISO 9001 §9.1</t>
        </is>
      </c>
      <c r="C30" s="6" t="inlineStr">
        <is>
          <t>Monitoring, measurement, analysis &amp; evaluation</t>
        </is>
      </c>
      <c r="D30" s="6" t="inlineStr">
        <is>
          <t>No metrics, no internal audit.</t>
        </is>
      </c>
      <c r="E30" s="22" t="inlineStr">
        <is>
          <t>Not met</t>
        </is>
      </c>
      <c r="F30" s="6" t="inlineStr">
        <is>
          <t>GAP-9001-05</t>
        </is>
      </c>
    </row>
    <row r="31">
      <c r="B31" s="6" t="inlineStr">
        <is>
          <t>ISO 9001 §10.2</t>
        </is>
      </c>
      <c r="C31" s="6" t="inlineStr">
        <is>
          <t>Nonconformity &amp; corrective action</t>
        </is>
      </c>
      <c r="D31" s="6" t="inlineStr">
        <is>
          <t>No CAR system.</t>
        </is>
      </c>
      <c r="E31" s="22" t="inlineStr">
        <is>
          <t>Not met</t>
        </is>
      </c>
      <c r="F31" s="6" t="inlineStr">
        <is>
          <t>GAP-9001-06</t>
        </is>
      </c>
    </row>
    <row r="32">
      <c r="B32" s="6" t="inlineStr">
        <is>
          <t>IEC 60204-1 §5.3</t>
        </is>
      </c>
      <c r="C32" s="6" t="inlineStr">
        <is>
          <t>Supply disconnecting device</t>
        </is>
      </c>
      <c r="D32" s="6" t="inlineStr">
        <is>
          <t>XT30 5 V input — single connector. No lockable disconnector specified.</t>
        </is>
      </c>
      <c r="E32" s="21" t="inlineStr">
        <is>
          <t>Partial</t>
        </is>
      </c>
      <c r="F32" s="6" t="inlineStr">
        <is>
          <t>GAP-60204-01</t>
        </is>
      </c>
    </row>
    <row r="33">
      <c r="B33" s="6" t="inlineStr">
        <is>
          <t>IEC 60204-1 §9.4</t>
        </is>
      </c>
      <c r="C33" s="6" t="inlineStr">
        <is>
          <t>Safety-related control functions</t>
        </is>
      </c>
      <c r="D33" s="6" t="inlineStr">
        <is>
          <t>Inherits ISO 13849 gaps.</t>
        </is>
      </c>
      <c r="E33" s="21" t="inlineStr">
        <is>
          <t>Partial</t>
        </is>
      </c>
      <c r="F33" s="6" t="inlineStr">
        <is>
          <t>GAP-60204-02</t>
        </is>
      </c>
    </row>
    <row r="34">
      <c r="B34" s="6" t="inlineStr">
        <is>
          <t>IEC 62133-2</t>
        </is>
      </c>
      <c r="C34" s="6" t="inlineStr">
        <is>
          <t>Battery safety (Li-ion)</t>
        </is>
      </c>
      <c r="D34" s="6" t="inlineStr">
        <is>
          <t>Battery excluded from kit; user-supplied. Compliance NOT verified.</t>
        </is>
      </c>
      <c r="E34" s="23" t="inlineStr">
        <is>
          <t>Deferred</t>
        </is>
      </c>
      <c r="F34" s="6" t="inlineStr">
        <is>
          <t>ASS-A-02</t>
        </is>
      </c>
    </row>
  </sheetData>
  <mergeCells count="1">
    <mergeCell ref="B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F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2">
      <c r="B2" s="4" t="inlineStr">
        <is>
          <t>Operating Envelope — four use-case profiles</t>
        </is>
      </c>
    </row>
    <row r="4">
      <c r="A4" s="15" t="inlineStr"/>
      <c r="B4" s="15" t="inlineStr">
        <is>
          <t>Aspect</t>
        </is>
      </c>
      <c r="C4" s="15" t="inlineStr">
        <is>
          <t>OE-1 Lab (supervised)</t>
        </is>
      </c>
      <c r="D4" s="15" t="inlineStr">
        <is>
          <t>OE-2 Industrial cobot</t>
        </is>
      </c>
      <c r="E4" s="15" t="inlineStr">
        <is>
          <t>OE-3 Home / consumer</t>
        </is>
      </c>
      <c r="F4" s="15" t="inlineStr">
        <is>
          <t>OE-4 Public space</t>
        </is>
      </c>
    </row>
    <row r="5">
      <c r="B5" s="6" t="inlineStr">
        <is>
          <t>Trained operator present?</t>
        </is>
      </c>
      <c r="C5" s="6" t="inlineStr">
        <is>
          <t>YES (mandatory)</t>
        </is>
      </c>
      <c r="D5" s="6" t="inlineStr">
        <is>
          <t>YES</t>
        </is>
      </c>
      <c r="E5" s="6" t="inlineStr">
        <is>
          <t>NO (untrained)</t>
        </is>
      </c>
      <c r="F5" s="6" t="inlineStr">
        <is>
          <t>NO (bystanders)</t>
        </is>
      </c>
    </row>
    <row r="6">
      <c r="B6" s="6" t="inlineStr">
        <is>
          <t>E-Stop in arm's reach?</t>
        </is>
      </c>
      <c r="C6" s="6" t="inlineStr">
        <is>
          <t>YES (tethered or wireless)</t>
        </is>
      </c>
      <c r="D6" s="6" t="inlineStr">
        <is>
          <t>YES (wireless)</t>
        </is>
      </c>
      <c r="E6" s="6" t="inlineStr">
        <is>
          <t>Possibly absent</t>
        </is>
      </c>
      <c r="F6" s="6" t="inlineStr">
        <is>
          <t>Not guaranteed</t>
        </is>
      </c>
    </row>
    <row r="7">
      <c r="B7" s="6" t="inlineStr">
        <is>
          <t>Bystanders / children / pets</t>
        </is>
      </c>
      <c r="C7" s="6" t="inlineStr">
        <is>
          <t>NO</t>
        </is>
      </c>
      <c r="D7" s="6" t="inlineStr">
        <is>
          <t>Permitted-area workers only</t>
        </is>
      </c>
      <c r="E7" s="6" t="inlineStr">
        <is>
          <t>YES — including children/pets</t>
        </is>
      </c>
      <c r="F7" s="6" t="inlineStr">
        <is>
          <t>YES — including elderly, disabled</t>
        </is>
      </c>
    </row>
    <row r="8">
      <c r="B8" s="6" t="inlineStr">
        <is>
          <t>Power source</t>
        </is>
      </c>
      <c r="C8" s="6" t="inlineStr">
        <is>
          <t>Bench supply / tether</t>
        </is>
      </c>
      <c r="D8" s="6" t="inlineStr">
        <is>
          <t>Battery + dock</t>
        </is>
      </c>
      <c r="E8" s="6" t="inlineStr">
        <is>
          <t>Battery (user-supplied)</t>
        </is>
      </c>
      <c r="F8" s="6" t="inlineStr">
        <is>
          <t>Battery + dock</t>
        </is>
      </c>
    </row>
    <row r="9">
      <c r="B9" s="6" t="inlineStr">
        <is>
          <t>Environment</t>
        </is>
      </c>
      <c r="C9" s="6" t="inlineStr">
        <is>
          <t>Lab, level, dry, +20–25 °C</t>
        </is>
      </c>
      <c r="D9" s="6" t="inlineStr">
        <is>
          <t>Defined cell, level, dry</t>
        </is>
      </c>
      <c r="E9" s="6" t="inlineStr">
        <is>
          <t>Domestic, mixed surfaces, stairs</t>
        </is>
      </c>
      <c r="F9" s="6" t="inlineStr">
        <is>
          <t>Outdoor, weather, kerbs</t>
        </is>
      </c>
    </row>
    <row r="10">
      <c r="B10" s="6" t="inlineStr">
        <is>
          <t>Speed limit applied</t>
        </is>
      </c>
      <c r="C10" s="6" t="inlineStr">
        <is>
          <t>Demonstration speed</t>
        </is>
      </c>
      <c r="D10" s="6" t="inlineStr">
        <is>
          <t>ISO/TS 15066 quasi-static</t>
        </is>
      </c>
      <c r="E10" s="6" t="inlineStr">
        <is>
          <t>Not declared</t>
        </is>
      </c>
      <c r="F10" s="6" t="inlineStr">
        <is>
          <t>Not declared</t>
        </is>
      </c>
    </row>
    <row r="11">
      <c r="B11" s="6" t="inlineStr">
        <is>
          <t>ISO 13482 robot type</t>
        </is>
      </c>
      <c r="C11" s="6" t="inlineStr">
        <is>
          <t>N/A (not personal care)</t>
        </is>
      </c>
      <c r="D11" s="6" t="inlineStr">
        <is>
          <t>N/A</t>
        </is>
      </c>
      <c r="E11" s="6" t="inlineStr">
        <is>
          <t>Type 1 mobile servant</t>
        </is>
      </c>
      <c r="F11" s="6" t="inlineStr">
        <is>
          <t>Type 1 mobile servant</t>
        </is>
      </c>
    </row>
    <row r="12">
      <c r="B12" s="6" t="inlineStr">
        <is>
          <t>Risk profile</t>
        </is>
      </c>
      <c r="C12" s="20" t="inlineStr">
        <is>
          <t>LOW</t>
        </is>
      </c>
      <c r="D12" s="21" t="inlineStr">
        <is>
          <t>MEDIUM</t>
        </is>
      </c>
      <c r="E12" s="22" t="inlineStr">
        <is>
          <t>HIGH</t>
        </is>
      </c>
      <c r="F12" s="22" t="inlineStr">
        <is>
          <t>VERY HIGH</t>
        </is>
      </c>
    </row>
    <row r="13">
      <c r="B13" s="6" t="inlineStr">
        <is>
          <t>Allowed (this safety case)</t>
        </is>
      </c>
      <c r="C13" s="6" t="inlineStr">
        <is>
          <t>PROVISIONALLY YES</t>
        </is>
      </c>
      <c r="D13" s="6" t="inlineStr">
        <is>
          <t>NOT YET — 12 gaps to close</t>
        </is>
      </c>
      <c r="E13" s="6" t="inlineStr">
        <is>
          <t>NOT YET — 19 gaps to close</t>
        </is>
      </c>
      <c r="F13" s="6" t="inlineStr">
        <is>
          <t>NOT YET — 21 gaps to close</t>
        </is>
      </c>
    </row>
  </sheetData>
  <mergeCells count="1">
    <mergeCell ref="B2:F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F3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18" customWidth="1" min="3" max="3"/>
    <col width="22" customWidth="1" min="4" max="4"/>
    <col width="50" customWidth="1" min="5" max="5"/>
    <col width="14" customWidth="1" min="6" max="6"/>
  </cols>
  <sheetData>
    <row r="2">
      <c r="B2" s="4" t="inlineStr">
        <is>
          <t>Hazard Catalogue — ISO 12100 Annex B + ISO 13482 Annex A</t>
        </is>
      </c>
    </row>
    <row r="4">
      <c r="A4" s="15" t="inlineStr"/>
      <c r="B4" s="15" t="inlineStr">
        <is>
          <t>ID</t>
        </is>
      </c>
      <c r="C4" s="15" t="inlineStr">
        <is>
          <t>Category</t>
        </is>
      </c>
      <c r="D4" s="15" t="inlineStr">
        <is>
          <t>Hazard origin</t>
        </is>
      </c>
      <c r="E4" s="15" t="inlineStr">
        <is>
          <t>Description</t>
        </is>
      </c>
      <c r="F4" s="15" t="inlineStr">
        <is>
          <t>Standard ref</t>
        </is>
      </c>
    </row>
    <row r="5">
      <c r="B5" s="6" t="inlineStr">
        <is>
          <t>HZ-M01</t>
        </is>
      </c>
      <c r="C5" s="6" t="inlineStr">
        <is>
          <t>Mechanical</t>
        </is>
      </c>
      <c r="D5" s="6" t="inlineStr">
        <is>
          <t>Crushing</t>
        </is>
      </c>
      <c r="E5" s="6" t="inlineStr">
        <is>
          <t>Robot tips over onto person; 35 kg + ≥1 m fall ≈ 411 J impact at COG</t>
        </is>
      </c>
      <c r="F5" s="6" t="inlineStr">
        <is>
          <t>12100 B.1</t>
        </is>
      </c>
    </row>
    <row r="6">
      <c r="B6" s="6" t="inlineStr">
        <is>
          <t>HZ-M02</t>
        </is>
      </c>
      <c r="C6" s="6" t="inlineStr">
        <is>
          <t>Mechanical</t>
        </is>
      </c>
      <c r="D6" s="6" t="inlineStr">
        <is>
          <t>Shearing</t>
        </is>
      </c>
      <c r="E6" s="6" t="inlineStr">
        <is>
          <t>Joint pinch points (knee, elbow, hip, neck) trap fingers/limb during MOVE</t>
        </is>
      </c>
      <c r="F6" s="6" t="inlineStr">
        <is>
          <t>13482 A.4 / 12100 B.1</t>
        </is>
      </c>
    </row>
    <row r="7">
      <c r="B7" s="6" t="inlineStr">
        <is>
          <t>HZ-M03</t>
        </is>
      </c>
      <c r="C7" s="6" t="inlineStr">
        <is>
          <t>Mechanical</t>
        </is>
      </c>
      <c r="D7" s="6" t="inlineStr">
        <is>
          <t>Cutting / severing</t>
        </is>
      </c>
      <c r="E7" s="6" t="inlineStr">
        <is>
          <t>Sharp edges on 7075 machined parts; loose hardware projectile</t>
        </is>
      </c>
      <c r="F7" s="6" t="inlineStr">
        <is>
          <t>12100 B.1</t>
        </is>
      </c>
    </row>
    <row r="8">
      <c r="B8" s="6" t="inlineStr">
        <is>
          <t>HZ-M04</t>
        </is>
      </c>
      <c r="C8" s="6" t="inlineStr">
        <is>
          <t>Mechanical</t>
        </is>
      </c>
      <c r="D8" s="6" t="inlineStr">
        <is>
          <t>Impact</t>
        </is>
      </c>
      <c r="E8" s="6" t="inlineStr">
        <is>
          <t>Arm sweeps strike head/torso of bystander during MOVE</t>
        </is>
      </c>
      <c r="F8" s="6" t="inlineStr">
        <is>
          <t>13482 5.7 / 12100 B.1</t>
        </is>
      </c>
    </row>
    <row r="9">
      <c r="B9" s="6" t="inlineStr">
        <is>
          <t>HZ-M05</t>
        </is>
      </c>
      <c r="C9" s="6" t="inlineStr">
        <is>
          <t>Mechanical</t>
        </is>
      </c>
      <c r="D9" s="6" t="inlineStr">
        <is>
          <t>Drawing-in / trapping</t>
        </is>
      </c>
      <c r="E9" s="6" t="inlineStr">
        <is>
          <t>Hair / clothing caught in waist yaw / neck yaw rotation</t>
        </is>
      </c>
      <c r="F9" s="6" t="inlineStr">
        <is>
          <t>13482 A.4</t>
        </is>
      </c>
    </row>
    <row r="10">
      <c r="B10" s="6" t="inlineStr">
        <is>
          <t>HZ-M07</t>
        </is>
      </c>
      <c r="C10" s="6" t="inlineStr">
        <is>
          <t>Mechanical</t>
        </is>
      </c>
      <c r="D10" s="6" t="inlineStr">
        <is>
          <t>Stability</t>
        </is>
      </c>
      <c r="E10" s="6" t="inlineStr">
        <is>
          <t>Loss of balance during STAND / MOVE leading to uncommanded fall</t>
        </is>
      </c>
      <c r="F10" s="6" t="inlineStr">
        <is>
          <t>13482 5.13</t>
        </is>
      </c>
    </row>
    <row r="11">
      <c r="B11" s="6" t="inlineStr">
        <is>
          <t>HZ-M08</t>
        </is>
      </c>
      <c r="C11" s="6" t="inlineStr">
        <is>
          <t>Mechanical</t>
        </is>
      </c>
      <c r="D11" s="6" t="inlineStr">
        <is>
          <t>Slip / trip / fall (human)</t>
        </is>
      </c>
      <c r="E11" s="6" t="inlineStr">
        <is>
          <t>Operator trips over robot or harness</t>
        </is>
      </c>
      <c r="F11" s="6" t="inlineStr">
        <is>
          <t>12100 B.1</t>
        </is>
      </c>
    </row>
    <row r="12">
      <c r="B12" s="6" t="inlineStr">
        <is>
          <t>HZ-E01</t>
        </is>
      </c>
      <c r="C12" s="6" t="inlineStr">
        <is>
          <t>Electrical</t>
        </is>
      </c>
      <c r="D12" s="6" t="inlineStr">
        <is>
          <t>Electric shock</t>
        </is>
      </c>
      <c r="E12" s="6" t="inlineStr">
        <is>
          <t>Exposed conductors at XT30 5 V input; charger HV side; battery pack</t>
        </is>
      </c>
      <c r="F12" s="6" t="inlineStr">
        <is>
          <t>60204-1 §6</t>
        </is>
      </c>
    </row>
    <row r="13">
      <c r="B13" s="6" t="inlineStr">
        <is>
          <t>HZ-E02</t>
        </is>
      </c>
      <c r="C13" s="6" t="inlineStr">
        <is>
          <t>Electrical</t>
        </is>
      </c>
      <c r="D13" s="6" t="inlineStr">
        <is>
          <t>Arc / short</t>
        </is>
      </c>
      <c r="E13" s="6" t="inlineStr">
        <is>
          <t>PDB short circuit; CAN harness damage causing fault</t>
        </is>
      </c>
      <c r="F13" s="6" t="inlineStr">
        <is>
          <t>60204-1 §6</t>
        </is>
      </c>
    </row>
    <row r="14">
      <c r="B14" s="6" t="inlineStr">
        <is>
          <t>HZ-E03</t>
        </is>
      </c>
      <c r="C14" s="6" t="inlineStr">
        <is>
          <t>Electrical</t>
        </is>
      </c>
      <c r="D14" s="6" t="inlineStr">
        <is>
          <t>Static</t>
        </is>
      </c>
      <c r="E14" s="6" t="inlineStr">
        <is>
          <t>ESD damage to MCB / CM5 / IMU during DIY assembly</t>
        </is>
      </c>
      <c r="F14" s="6" t="inlineStr">
        <is>
          <t>60204-1</t>
        </is>
      </c>
    </row>
    <row r="15">
      <c r="B15" s="6" t="inlineStr">
        <is>
          <t>HZ-E04</t>
        </is>
      </c>
      <c r="C15" s="6" t="inlineStr">
        <is>
          <t>Electrical</t>
        </is>
      </c>
      <c r="D15" s="6" t="inlineStr">
        <is>
          <t>Electromagnetic disturbance</t>
        </is>
      </c>
      <c r="E15" s="6" t="inlineStr">
        <is>
          <t>RF interference disrupts WebRTC link or wireless E-Stop</t>
        </is>
      </c>
      <c r="F15" s="6" t="inlineStr">
        <is>
          <t>60204-1 §4.4.2</t>
        </is>
      </c>
    </row>
    <row r="16">
      <c r="B16" s="6" t="inlineStr">
        <is>
          <t>HZ-T01</t>
        </is>
      </c>
      <c r="C16" s="6" t="inlineStr">
        <is>
          <t>Thermal</t>
        </is>
      </c>
      <c r="D16" s="6" t="inlineStr">
        <is>
          <t>Burn (hot)</t>
        </is>
      </c>
      <c r="E16" s="6" t="inlineStr">
        <is>
          <t>Actuator stators reach &gt;60 °C under sustained load</t>
        </is>
      </c>
      <c r="F16" s="6" t="inlineStr">
        <is>
          <t>12100 B.2</t>
        </is>
      </c>
    </row>
    <row r="17">
      <c r="B17" s="6" t="inlineStr">
        <is>
          <t>HZ-T02</t>
        </is>
      </c>
      <c r="C17" s="6" t="inlineStr">
        <is>
          <t>Thermal</t>
        </is>
      </c>
      <c r="D17" s="6" t="inlineStr">
        <is>
          <t>Battery thermal runaway</t>
        </is>
      </c>
      <c r="E17" s="6" t="inlineStr">
        <is>
          <t>Li-ion pack failure → fire / vent</t>
        </is>
      </c>
      <c r="F17" s="6" t="inlineStr">
        <is>
          <t>62133-2</t>
        </is>
      </c>
    </row>
    <row r="18">
      <c r="B18" s="6" t="inlineStr">
        <is>
          <t>HZ-N01</t>
        </is>
      </c>
      <c r="C18" s="6" t="inlineStr">
        <is>
          <t>Noise</t>
        </is>
      </c>
      <c r="D18" s="6" t="inlineStr">
        <is>
          <t>Hearing damage</t>
        </is>
      </c>
      <c r="E18" s="6" t="inlineStr">
        <is>
          <t>10 W speaker can exceed 85 dBA at user ear</t>
        </is>
      </c>
      <c r="F18" s="6" t="inlineStr">
        <is>
          <t>12100 B.3</t>
        </is>
      </c>
    </row>
    <row r="19">
      <c r="B19" s="6" t="inlineStr">
        <is>
          <t>HZ-V01</t>
        </is>
      </c>
      <c r="C19" s="6" t="inlineStr">
        <is>
          <t>Vibration</t>
        </is>
      </c>
      <c r="D19" s="6" t="inlineStr">
        <is>
          <t>Hand-arm vibration</t>
        </is>
      </c>
      <c r="E19" s="6" t="inlineStr">
        <is>
          <t>During tele-op holding tablet — low risk</t>
        </is>
      </c>
      <c r="F19" s="6" t="inlineStr">
        <is>
          <t>12100 B.4</t>
        </is>
      </c>
    </row>
    <row r="20">
      <c r="B20" s="6" t="inlineStr">
        <is>
          <t>HZ-R01</t>
        </is>
      </c>
      <c r="C20" s="6" t="inlineStr">
        <is>
          <t>Radiation</t>
        </is>
      </c>
      <c r="D20" s="6" t="inlineStr">
        <is>
          <t>Optical (camera IR)</t>
        </is>
      </c>
      <c r="E20" s="6" t="inlineStr">
        <is>
          <t>Camera flash module — low risk if present</t>
        </is>
      </c>
      <c r="F20" s="6" t="inlineStr">
        <is>
          <t>12100 B.5</t>
        </is>
      </c>
    </row>
    <row r="21">
      <c r="B21" s="6" t="inlineStr">
        <is>
          <t>HZ-X01</t>
        </is>
      </c>
      <c r="C21" s="6" t="inlineStr">
        <is>
          <t>Materials</t>
        </is>
      </c>
      <c r="D21" s="6" t="inlineStr">
        <is>
          <t>MJF PA12 dust</t>
        </is>
      </c>
      <c r="E21" s="6" t="inlineStr">
        <is>
          <t>Inhalation during fabrication / repair sanding</t>
        </is>
      </c>
      <c r="F21" s="6" t="inlineStr">
        <is>
          <t>12100 B.6</t>
        </is>
      </c>
    </row>
    <row r="22">
      <c r="B22" s="6" t="inlineStr">
        <is>
          <t>HZ-G01</t>
        </is>
      </c>
      <c r="C22" s="6" t="inlineStr">
        <is>
          <t>Ergonomic</t>
        </is>
      </c>
      <c r="D22" s="6" t="inlineStr">
        <is>
          <t>Lifting strain</t>
        </is>
      </c>
      <c r="E22" s="6" t="inlineStr">
        <is>
          <t>35 kg whole robot — manual handling injury during deployment</t>
        </is>
      </c>
      <c r="F22" s="6" t="inlineStr">
        <is>
          <t>12100 B.7</t>
        </is>
      </c>
    </row>
    <row r="23">
      <c r="B23" s="6" t="inlineStr">
        <is>
          <t>HZ-V02</t>
        </is>
      </c>
      <c r="C23" s="6" t="inlineStr">
        <is>
          <t>Environment</t>
        </is>
      </c>
      <c r="D23" s="6" t="inlineStr">
        <is>
          <t>Operating temp</t>
        </is>
      </c>
      <c r="E23" s="6" t="inlineStr">
        <is>
          <t>Outside +10 to +35 °C: motor torque drift, BMS shutoff, plastic embrittlement</t>
        </is>
      </c>
      <c r="F23" s="6" t="inlineStr">
        <is>
          <t>12100 B.8</t>
        </is>
      </c>
    </row>
    <row r="24">
      <c r="B24" s="6" t="inlineStr">
        <is>
          <t>HZ-V03</t>
        </is>
      </c>
      <c r="C24" s="6" t="inlineStr">
        <is>
          <t>Environment</t>
        </is>
      </c>
      <c r="D24" s="6" t="inlineStr">
        <is>
          <t>Wet / wet floor</t>
        </is>
      </c>
      <c r="E24" s="6" t="inlineStr">
        <is>
          <t>No IP rating — moisture ingress causes shorts or slips</t>
        </is>
      </c>
      <c r="F24" s="6" t="inlineStr">
        <is>
          <t>12100 B.8</t>
        </is>
      </c>
    </row>
    <row r="25">
      <c r="B25" s="6" t="inlineStr">
        <is>
          <t>HZ-P01</t>
        </is>
      </c>
      <c r="C25" s="6" t="inlineStr">
        <is>
          <t>Personal-care</t>
        </is>
      </c>
      <c r="D25" s="6" t="inlineStr">
        <is>
          <t>Inadequate restraint</t>
        </is>
      </c>
      <c r="E25" s="6" t="inlineStr">
        <is>
          <t>Robot grasps/leans on a person it shouldn't</t>
        </is>
      </c>
      <c r="F25" s="6" t="inlineStr">
        <is>
          <t>13482 5.8</t>
        </is>
      </c>
    </row>
    <row r="26">
      <c r="B26" s="6" t="inlineStr">
        <is>
          <t>HZ-P02</t>
        </is>
      </c>
      <c r="C26" s="6" t="inlineStr">
        <is>
          <t>Personal-care</t>
        </is>
      </c>
      <c r="D26" s="6" t="inlineStr">
        <is>
          <t>Incorrect autonomous decision</t>
        </is>
      </c>
      <c r="E26" s="6" t="inlineStr">
        <is>
          <t>Locomotion policy edge case → hazardous trajectory</t>
        </is>
      </c>
      <c r="F26" s="6" t="inlineStr">
        <is>
          <t>13482 5.6</t>
        </is>
      </c>
    </row>
    <row r="27">
      <c r="B27" s="6" t="inlineStr">
        <is>
          <t>HZ-P03</t>
        </is>
      </c>
      <c r="C27" s="6" t="inlineStr">
        <is>
          <t>Personal-care</t>
        </is>
      </c>
      <c r="D27" s="6" t="inlineStr">
        <is>
          <t>Battery-powered emergency</t>
        </is>
      </c>
      <c r="E27" s="6" t="inlineStr">
        <is>
          <t>Power loss mid-stride → uncontrolled fall</t>
        </is>
      </c>
      <c r="F27" s="6" t="inlineStr">
        <is>
          <t>13482 5.10</t>
        </is>
      </c>
    </row>
    <row r="28">
      <c r="B28" s="6" t="inlineStr">
        <is>
          <t>HZ-P04</t>
        </is>
      </c>
      <c r="C28" s="6" t="inlineStr">
        <is>
          <t>Personal-care</t>
        </is>
      </c>
      <c r="D28" s="6" t="inlineStr">
        <is>
          <t>Robot-to-human contact (allowed)</t>
        </is>
      </c>
      <c r="E28" s="6" t="inlineStr">
        <is>
          <t>Intentional contact exceeds force limits</t>
        </is>
      </c>
      <c r="F28" s="6" t="inlineStr">
        <is>
          <t>13482 5.7 / TS 15066</t>
        </is>
      </c>
    </row>
    <row r="29">
      <c r="B29" s="6" t="inlineStr">
        <is>
          <t>HZ-P05</t>
        </is>
      </c>
      <c r="C29" s="6" t="inlineStr">
        <is>
          <t>Personal-care</t>
        </is>
      </c>
      <c r="D29" s="6" t="inlineStr">
        <is>
          <t>Restraint of human</t>
        </is>
      </c>
      <c r="E29" s="6" t="inlineStr">
        <is>
          <t>Robot pins / leans on user → asphyxiation risk</t>
        </is>
      </c>
      <c r="F29" s="6" t="inlineStr">
        <is>
          <t>13482 5.8</t>
        </is>
      </c>
    </row>
    <row r="30">
      <c r="B30" s="6" t="inlineStr">
        <is>
          <t>HZ-P06</t>
        </is>
      </c>
      <c r="C30" s="6" t="inlineStr">
        <is>
          <t>Personal-care</t>
        </is>
      </c>
      <c r="D30" s="6" t="inlineStr">
        <is>
          <t>Stability under external load</t>
        </is>
      </c>
      <c r="E30" s="6" t="inlineStr">
        <is>
          <t>Person leans on robot → tip-over</t>
        </is>
      </c>
      <c r="F30" s="6" t="inlineStr">
        <is>
          <t>13482 5.13</t>
        </is>
      </c>
    </row>
    <row r="31">
      <c r="B31" s="6" t="inlineStr">
        <is>
          <t>HZ-P07</t>
        </is>
      </c>
      <c r="C31" s="6" t="inlineStr">
        <is>
          <t>Personal-care</t>
        </is>
      </c>
      <c r="D31" s="6" t="inlineStr">
        <is>
          <t>Human cognitive overload</t>
        </is>
      </c>
      <c r="E31" s="6" t="inlineStr">
        <is>
          <t>Confusing UI / failure annunciation</t>
        </is>
      </c>
      <c r="F31" s="6" t="inlineStr">
        <is>
          <t>13482 5.14</t>
        </is>
      </c>
    </row>
    <row r="32">
      <c r="B32" s="6" t="inlineStr">
        <is>
          <t>HZ-C01</t>
        </is>
      </c>
      <c r="C32" s="6" t="inlineStr">
        <is>
          <t>Control / cyber</t>
        </is>
      </c>
      <c r="D32" s="6" t="inlineStr">
        <is>
          <t>Loss of comm</t>
        </is>
      </c>
      <c r="E32" s="6" t="inlineStr">
        <is>
          <t>WebRTC drop in MOVE; watchdog auto-DAMP — but DAMP itself drops the robot</t>
        </is>
      </c>
      <c r="F32" s="6" t="inlineStr">
        <is>
          <t>13849-1 §6</t>
        </is>
      </c>
    </row>
    <row r="33">
      <c r="B33" s="6" t="inlineStr">
        <is>
          <t>HZ-C02</t>
        </is>
      </c>
      <c r="C33" s="6" t="inlineStr">
        <is>
          <t>Control / cyber</t>
        </is>
      </c>
      <c r="D33" s="6" t="inlineStr">
        <is>
          <t>Unauthorised cmd</t>
        </is>
      </c>
      <c r="E33" s="6" t="inlineStr">
        <is>
          <t>Unauthenticated tele-op command moves robot</t>
        </is>
      </c>
      <c r="F33" s="6" t="inlineStr">
        <is>
          <t>21434 (ref.) / 13482 5.18</t>
        </is>
      </c>
    </row>
    <row r="34">
      <c r="B34" s="6" t="inlineStr">
        <is>
          <t>HZ-C03</t>
        </is>
      </c>
      <c r="C34" s="6" t="inlineStr">
        <is>
          <t>Control / cyber</t>
        </is>
      </c>
      <c r="D34" s="6" t="inlineStr">
        <is>
          <t>Sensor failure</t>
        </is>
      </c>
      <c r="E34" s="6" t="inlineStr">
        <is>
          <t>IMU stuck / out-of-range → balance controller drives unstable</t>
        </is>
      </c>
      <c r="F34" s="6" t="inlineStr">
        <is>
          <t>13849-1</t>
        </is>
      </c>
    </row>
    <row r="35">
      <c r="B35" s="6" t="inlineStr">
        <is>
          <t>HZ-C04</t>
        </is>
      </c>
      <c r="C35" s="6" t="inlineStr">
        <is>
          <t>Control / cyber</t>
        </is>
      </c>
      <c r="D35" s="6" t="inlineStr">
        <is>
          <t>Software fault</t>
        </is>
      </c>
      <c r="E35" s="6" t="inlineStr">
        <is>
          <t>Control loop deadlock → motors hold last command</t>
        </is>
      </c>
      <c r="F35" s="6" t="inlineStr">
        <is>
          <t>13849-1</t>
        </is>
      </c>
    </row>
    <row r="36">
      <c r="B36" s="6" t="inlineStr">
        <is>
          <t>HZ-C05</t>
        </is>
      </c>
      <c r="C36" s="6" t="inlineStr">
        <is>
          <t>Control / cyber</t>
        </is>
      </c>
      <c r="D36" s="6" t="inlineStr">
        <is>
          <t>Joint limit overshoot</t>
        </is>
      </c>
      <c r="E36" s="6" t="inlineStr">
        <is>
          <t>Position command exceeds mechanical end-stop → damage / projectile</t>
        </is>
      </c>
      <c r="F36" s="6" t="inlineStr">
        <is>
          <t>13482 5.10</t>
        </is>
      </c>
    </row>
  </sheetData>
  <mergeCells count="1">
    <mergeCell ref="B2:F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L3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8" customWidth="1" min="3" max="3"/>
    <col width="3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4" customWidth="1" min="10" max="10"/>
    <col width="14" customWidth="1" min="11" max="11"/>
    <col width="22" customWidth="1" min="12" max="12"/>
  </cols>
  <sheetData>
    <row r="2">
      <c r="B2" s="4" t="inlineStr">
        <is>
          <t>Hazard Analysis &amp; Risk Assessment — ISO 12100 §6 + ISO 13849-1 risk graph</t>
        </is>
      </c>
    </row>
    <row r="3">
      <c r="B3" s="24" t="inlineStr">
        <is>
          <t>S = Severity (S1 reversible / S2 irreversible)   ·   F = Frequency / exposure (F1 seldom / F2 frequent)   ·   P = Possibility of avoidance (P1 possible / P2 scarcely possible)   →   PLr a (lowest) … e (highest)  per ISO 13849-1 Annex A</t>
        </is>
      </c>
    </row>
    <row r="5">
      <c r="A5" s="15" t="inlineStr"/>
      <c r="B5" s="15" t="inlineStr">
        <is>
          <t>ID</t>
        </is>
      </c>
      <c r="C5" s="15" t="inlineStr">
        <is>
          <t>OE</t>
        </is>
      </c>
      <c r="D5" s="15" t="inlineStr">
        <is>
          <t>Hazard / scenario</t>
        </is>
      </c>
      <c r="E5" s="15" t="inlineStr">
        <is>
          <t>S</t>
        </is>
      </c>
      <c r="F5" s="15" t="inlineStr">
        <is>
          <t>F</t>
        </is>
      </c>
      <c r="G5" s="15" t="inlineStr">
        <is>
          <t>P</t>
        </is>
      </c>
      <c r="H5" s="15" t="inlineStr">
        <is>
          <t>PLr</t>
        </is>
      </c>
      <c r="I5" s="15" t="inlineStr">
        <is>
          <t>Cat (target)</t>
        </is>
      </c>
      <c r="J5" s="15" t="inlineStr">
        <is>
          <t>Initial risk</t>
        </is>
      </c>
      <c r="K5" s="15" t="inlineStr">
        <is>
          <t>Residual (with SF)</t>
        </is>
      </c>
      <c r="L5" s="15" t="inlineStr">
        <is>
          <t>Linked SF</t>
        </is>
      </c>
    </row>
    <row r="6">
      <c r="B6" s="16" t="inlineStr">
        <is>
          <t>HZ-M01</t>
        </is>
      </c>
      <c r="C6" s="6" t="inlineStr">
        <is>
          <t>All</t>
        </is>
      </c>
      <c r="D6" s="6" t="inlineStr">
        <is>
          <t>Tip-over onto bystander/operator (35 kg, 1.2 m)</t>
        </is>
      </c>
      <c r="E6" s="17" t="inlineStr">
        <is>
          <t>S2</t>
        </is>
      </c>
      <c r="F6" s="17" t="inlineStr">
        <is>
          <t>F2</t>
        </is>
      </c>
      <c r="G6" s="17" t="inlineStr">
        <is>
          <t>P2</t>
        </is>
      </c>
      <c r="H6" s="11" t="inlineStr">
        <is>
          <t>e</t>
        </is>
      </c>
      <c r="I6" s="17" t="inlineStr">
        <is>
          <t>4</t>
        </is>
      </c>
      <c r="J6" s="17" t="inlineStr">
        <is>
          <t>V.High</t>
        </is>
      </c>
      <c r="K6" s="12" t="inlineStr">
        <is>
          <t>Low</t>
        </is>
      </c>
      <c r="L6" s="6" t="inlineStr">
        <is>
          <t>SF-01,SF-02</t>
        </is>
      </c>
    </row>
    <row r="7">
      <c r="B7" s="16" t="inlineStr">
        <is>
          <t>HZ-M02</t>
        </is>
      </c>
      <c r="C7" s="6" t="inlineStr">
        <is>
          <t>All</t>
        </is>
      </c>
      <c r="D7" s="6" t="inlineStr">
        <is>
          <t>Joint pinch during MOVE — finger/limb</t>
        </is>
      </c>
      <c r="E7" s="17" t="inlineStr">
        <is>
          <t>S2</t>
        </is>
      </c>
      <c r="F7" s="17" t="inlineStr">
        <is>
          <t>F2</t>
        </is>
      </c>
      <c r="G7" s="17" t="inlineStr">
        <is>
          <t>P2</t>
        </is>
      </c>
      <c r="H7" s="11" t="inlineStr">
        <is>
          <t>e</t>
        </is>
      </c>
      <c r="I7" s="17" t="inlineStr">
        <is>
          <t>4</t>
        </is>
      </c>
      <c r="J7" s="17" t="inlineStr">
        <is>
          <t>V.High</t>
        </is>
      </c>
      <c r="K7" s="10" t="inlineStr">
        <is>
          <t>Med</t>
        </is>
      </c>
      <c r="L7" s="6" t="inlineStr">
        <is>
          <t>SF-03,SF-04</t>
        </is>
      </c>
    </row>
    <row r="8">
      <c r="B8" s="16" t="inlineStr">
        <is>
          <t>HZ-M03</t>
        </is>
      </c>
      <c r="C8" s="6" t="inlineStr">
        <is>
          <t>OE-1..3</t>
        </is>
      </c>
      <c r="D8" s="6" t="inlineStr">
        <is>
          <t>Sharp edge / loose 7075 fastener</t>
        </is>
      </c>
      <c r="E8" s="17" t="inlineStr">
        <is>
          <t>S1</t>
        </is>
      </c>
      <c r="F8" s="17" t="inlineStr">
        <is>
          <t>F2</t>
        </is>
      </c>
      <c r="G8" s="17" t="inlineStr">
        <is>
          <t>P1</t>
        </is>
      </c>
      <c r="H8" s="12" t="inlineStr">
        <is>
          <t>b</t>
        </is>
      </c>
      <c r="I8" s="17" t="inlineStr">
        <is>
          <t>1</t>
        </is>
      </c>
      <c r="J8" s="17" t="inlineStr">
        <is>
          <t>Low</t>
        </is>
      </c>
      <c r="K8" s="12" t="inlineStr">
        <is>
          <t>Low</t>
        </is>
      </c>
      <c r="L8" s="6" t="inlineStr">
        <is>
          <t>SF-05</t>
        </is>
      </c>
    </row>
    <row r="9">
      <c r="B9" s="16" t="inlineStr">
        <is>
          <t>HZ-M04</t>
        </is>
      </c>
      <c r="C9" s="6" t="inlineStr">
        <is>
          <t>OE-2..4</t>
        </is>
      </c>
      <c r="D9" s="6" t="inlineStr">
        <is>
          <t>Arm sweep strike</t>
        </is>
      </c>
      <c r="E9" s="17" t="inlineStr">
        <is>
          <t>S2</t>
        </is>
      </c>
      <c r="F9" s="17" t="inlineStr">
        <is>
          <t>F2</t>
        </is>
      </c>
      <c r="G9" s="17" t="inlineStr">
        <is>
          <t>P2</t>
        </is>
      </c>
      <c r="H9" s="11" t="inlineStr">
        <is>
          <t>e</t>
        </is>
      </c>
      <c r="I9" s="17" t="inlineStr">
        <is>
          <t>4</t>
        </is>
      </c>
      <c r="J9" s="17" t="inlineStr">
        <is>
          <t>V.High</t>
        </is>
      </c>
      <c r="K9" s="10" t="inlineStr">
        <is>
          <t>Med</t>
        </is>
      </c>
      <c r="L9" s="6" t="inlineStr">
        <is>
          <t>SF-04,SF-06</t>
        </is>
      </c>
    </row>
    <row r="10">
      <c r="B10" s="16" t="inlineStr">
        <is>
          <t>HZ-M05</t>
        </is>
      </c>
      <c r="C10" s="6" t="inlineStr">
        <is>
          <t>OE-3..4</t>
        </is>
      </c>
      <c r="D10" s="6" t="inlineStr">
        <is>
          <t>Hair/clothing entanglement at waist yaw</t>
        </is>
      </c>
      <c r="E10" s="17" t="inlineStr">
        <is>
          <t>S2</t>
        </is>
      </c>
      <c r="F10" s="17" t="inlineStr">
        <is>
          <t>F1</t>
        </is>
      </c>
      <c r="G10" s="17" t="inlineStr">
        <is>
          <t>P2</t>
        </is>
      </c>
      <c r="H10" s="11" t="inlineStr">
        <is>
          <t>d</t>
        </is>
      </c>
      <c r="I10" s="17" t="inlineStr">
        <is>
          <t>3</t>
        </is>
      </c>
      <c r="J10" s="17" t="inlineStr">
        <is>
          <t>High</t>
        </is>
      </c>
      <c r="K10" s="10" t="inlineStr">
        <is>
          <t>Med</t>
        </is>
      </c>
      <c r="L10" s="6" t="inlineStr">
        <is>
          <t>SF-07</t>
        </is>
      </c>
    </row>
    <row r="11">
      <c r="B11" s="16" t="inlineStr">
        <is>
          <t>HZ-M07</t>
        </is>
      </c>
      <c r="C11" s="6" t="inlineStr">
        <is>
          <t>All</t>
        </is>
      </c>
      <c r="D11" s="6" t="inlineStr">
        <is>
          <t>Loss of balance — uncommanded fall</t>
        </is>
      </c>
      <c r="E11" s="17" t="inlineStr">
        <is>
          <t>S2</t>
        </is>
      </c>
      <c r="F11" s="17" t="inlineStr">
        <is>
          <t>F2</t>
        </is>
      </c>
      <c r="G11" s="17" t="inlineStr">
        <is>
          <t>P2</t>
        </is>
      </c>
      <c r="H11" s="11" t="inlineStr">
        <is>
          <t>e</t>
        </is>
      </c>
      <c r="I11" s="17" t="inlineStr">
        <is>
          <t>4</t>
        </is>
      </c>
      <c r="J11" s="17" t="inlineStr">
        <is>
          <t>V.High</t>
        </is>
      </c>
      <c r="K11" s="12" t="inlineStr">
        <is>
          <t>Low</t>
        </is>
      </c>
      <c r="L11" s="6" t="inlineStr">
        <is>
          <t>SF-01,SF-02,SF-08</t>
        </is>
      </c>
    </row>
    <row r="12">
      <c r="B12" s="16" t="inlineStr">
        <is>
          <t>HZ-M08</t>
        </is>
      </c>
      <c r="C12" s="6" t="inlineStr">
        <is>
          <t>OE-3..4</t>
        </is>
      </c>
      <c r="D12" s="6" t="inlineStr">
        <is>
          <t>Trip over robot or harness</t>
        </is>
      </c>
      <c r="E12" s="17" t="inlineStr">
        <is>
          <t>S1</t>
        </is>
      </c>
      <c r="F12" s="17" t="inlineStr">
        <is>
          <t>F2</t>
        </is>
      </c>
      <c r="G12" s="17" t="inlineStr">
        <is>
          <t>P1</t>
        </is>
      </c>
      <c r="H12" s="12" t="inlineStr">
        <is>
          <t>b</t>
        </is>
      </c>
      <c r="I12" s="17" t="inlineStr">
        <is>
          <t>1</t>
        </is>
      </c>
      <c r="J12" s="17" t="inlineStr">
        <is>
          <t>Low</t>
        </is>
      </c>
      <c r="K12" s="12" t="inlineStr">
        <is>
          <t>Low</t>
        </is>
      </c>
      <c r="L12" s="6" t="inlineStr">
        <is>
          <t>SF-09</t>
        </is>
      </c>
    </row>
    <row r="13">
      <c r="B13" s="16" t="inlineStr">
        <is>
          <t>HZ-E01</t>
        </is>
      </c>
      <c r="C13" s="6" t="inlineStr">
        <is>
          <t>All</t>
        </is>
      </c>
      <c r="D13" s="6" t="inlineStr">
        <is>
          <t>Electric shock at XT30 / charger / battery</t>
        </is>
      </c>
      <c r="E13" s="17" t="inlineStr">
        <is>
          <t>S2</t>
        </is>
      </c>
      <c r="F13" s="17" t="inlineStr">
        <is>
          <t>F1</t>
        </is>
      </c>
      <c r="G13" s="17" t="inlineStr">
        <is>
          <t>P2</t>
        </is>
      </c>
      <c r="H13" s="11" t="inlineStr">
        <is>
          <t>d</t>
        </is>
      </c>
      <c r="I13" s="17" t="inlineStr">
        <is>
          <t>3</t>
        </is>
      </c>
      <c r="J13" s="17" t="inlineStr">
        <is>
          <t>High</t>
        </is>
      </c>
      <c r="K13" s="12" t="inlineStr">
        <is>
          <t>Low</t>
        </is>
      </c>
      <c r="L13" s="6" t="inlineStr">
        <is>
          <t>SF-10</t>
        </is>
      </c>
    </row>
    <row r="14">
      <c r="B14" s="16" t="inlineStr">
        <is>
          <t>HZ-E02</t>
        </is>
      </c>
      <c r="C14" s="6" t="inlineStr">
        <is>
          <t>All</t>
        </is>
      </c>
      <c r="D14" s="6" t="inlineStr">
        <is>
          <t>PDB / harness short → arc</t>
        </is>
      </c>
      <c r="E14" s="17" t="inlineStr">
        <is>
          <t>S2</t>
        </is>
      </c>
      <c r="F14" s="17" t="inlineStr">
        <is>
          <t>F1</t>
        </is>
      </c>
      <c r="G14" s="17" t="inlineStr">
        <is>
          <t>P1</t>
        </is>
      </c>
      <c r="H14" s="10" t="inlineStr">
        <is>
          <t>c</t>
        </is>
      </c>
      <c r="I14" s="17" t="inlineStr">
        <is>
          <t>2</t>
        </is>
      </c>
      <c r="J14" s="17" t="inlineStr">
        <is>
          <t>Med</t>
        </is>
      </c>
      <c r="K14" s="12" t="inlineStr">
        <is>
          <t>Low</t>
        </is>
      </c>
      <c r="L14" s="6" t="inlineStr">
        <is>
          <t>SF-10,SF-11</t>
        </is>
      </c>
    </row>
    <row r="15">
      <c r="B15" s="16" t="inlineStr">
        <is>
          <t>HZ-E03</t>
        </is>
      </c>
      <c r="C15" s="6" t="inlineStr">
        <is>
          <t>OE-1</t>
        </is>
      </c>
      <c r="D15" s="6" t="inlineStr">
        <is>
          <t>ESD damage during assembly</t>
        </is>
      </c>
      <c r="E15" s="17" t="inlineStr">
        <is>
          <t>S1</t>
        </is>
      </c>
      <c r="F15" s="17" t="inlineStr">
        <is>
          <t>F2</t>
        </is>
      </c>
      <c r="G15" s="17" t="inlineStr">
        <is>
          <t>P1</t>
        </is>
      </c>
      <c r="H15" s="12" t="inlineStr">
        <is>
          <t>b</t>
        </is>
      </c>
      <c r="I15" s="17" t="inlineStr">
        <is>
          <t>1</t>
        </is>
      </c>
      <c r="J15" s="17" t="inlineStr">
        <is>
          <t>Low</t>
        </is>
      </c>
      <c r="K15" s="12" t="inlineStr">
        <is>
          <t>Low</t>
        </is>
      </c>
      <c r="L15" s="6" t="inlineStr">
        <is>
          <t>SF-12 (process)</t>
        </is>
      </c>
    </row>
    <row r="16">
      <c r="B16" s="16" t="inlineStr">
        <is>
          <t>HZ-E04</t>
        </is>
      </c>
      <c r="C16" s="6" t="inlineStr">
        <is>
          <t>OE-3..4</t>
        </is>
      </c>
      <c r="D16" s="6" t="inlineStr">
        <is>
          <t>RF interference disrupts E-Stop</t>
        </is>
      </c>
      <c r="E16" s="17" t="inlineStr">
        <is>
          <t>S2</t>
        </is>
      </c>
      <c r="F16" s="17" t="inlineStr">
        <is>
          <t>F1</t>
        </is>
      </c>
      <c r="G16" s="17" t="inlineStr">
        <is>
          <t>P2</t>
        </is>
      </c>
      <c r="H16" s="11" t="inlineStr">
        <is>
          <t>d</t>
        </is>
      </c>
      <c r="I16" s="17" t="inlineStr">
        <is>
          <t>3</t>
        </is>
      </c>
      <c r="J16" s="17" t="inlineStr">
        <is>
          <t>High</t>
        </is>
      </c>
      <c r="K16" s="12" t="inlineStr">
        <is>
          <t>Low</t>
        </is>
      </c>
      <c r="L16" s="6" t="inlineStr">
        <is>
          <t>SF-02,SF-13</t>
        </is>
      </c>
    </row>
    <row r="17">
      <c r="B17" s="16" t="inlineStr">
        <is>
          <t>HZ-T01</t>
        </is>
      </c>
      <c r="C17" s="6" t="inlineStr">
        <is>
          <t>All</t>
        </is>
      </c>
      <c r="D17" s="6" t="inlineStr">
        <is>
          <t>Hot actuator stator burn</t>
        </is>
      </c>
      <c r="E17" s="17" t="inlineStr">
        <is>
          <t>S1</t>
        </is>
      </c>
      <c r="F17" s="17" t="inlineStr">
        <is>
          <t>F2</t>
        </is>
      </c>
      <c r="G17" s="17" t="inlineStr">
        <is>
          <t>P1</t>
        </is>
      </c>
      <c r="H17" s="12" t="inlineStr">
        <is>
          <t>b</t>
        </is>
      </c>
      <c r="I17" s="17" t="inlineStr">
        <is>
          <t>1</t>
        </is>
      </c>
      <c r="J17" s="17" t="inlineStr">
        <is>
          <t>Low</t>
        </is>
      </c>
      <c r="K17" s="12" t="inlineStr">
        <is>
          <t>Low</t>
        </is>
      </c>
      <c r="L17" s="6" t="inlineStr">
        <is>
          <t>SF-14</t>
        </is>
      </c>
    </row>
    <row r="18">
      <c r="B18" s="16" t="inlineStr">
        <is>
          <t>HZ-T02</t>
        </is>
      </c>
      <c r="C18" s="6" t="inlineStr">
        <is>
          <t>All</t>
        </is>
      </c>
      <c r="D18" s="6" t="inlineStr">
        <is>
          <t>Li-ion thermal runaway</t>
        </is>
      </c>
      <c r="E18" s="17" t="inlineStr">
        <is>
          <t>S2</t>
        </is>
      </c>
      <c r="F18" s="17" t="inlineStr">
        <is>
          <t>F1</t>
        </is>
      </c>
      <c r="G18" s="17" t="inlineStr">
        <is>
          <t>P2</t>
        </is>
      </c>
      <c r="H18" s="11" t="inlineStr">
        <is>
          <t>d</t>
        </is>
      </c>
      <c r="I18" s="17" t="inlineStr">
        <is>
          <t>3</t>
        </is>
      </c>
      <c r="J18" s="17" t="inlineStr">
        <is>
          <t>High</t>
        </is>
      </c>
      <c r="K18" s="11" t="inlineStr">
        <is>
          <t>V.High</t>
        </is>
      </c>
      <c r="L18" s="6" t="inlineStr">
        <is>
          <t>SF-15</t>
        </is>
      </c>
    </row>
    <row r="19">
      <c r="B19" s="16" t="inlineStr">
        <is>
          <t>HZ-N01</t>
        </is>
      </c>
      <c r="C19" s="6" t="inlineStr">
        <is>
          <t>All</t>
        </is>
      </c>
      <c r="D19" s="6" t="inlineStr">
        <is>
          <t>Speaker &gt; 85 dBA at user ear</t>
        </is>
      </c>
      <c r="E19" s="17" t="inlineStr">
        <is>
          <t>S1</t>
        </is>
      </c>
      <c r="F19" s="17" t="inlineStr">
        <is>
          <t>F2</t>
        </is>
      </c>
      <c r="G19" s="17" t="inlineStr">
        <is>
          <t>P2</t>
        </is>
      </c>
      <c r="H19" s="10" t="inlineStr">
        <is>
          <t>c</t>
        </is>
      </c>
      <c r="I19" s="17" t="inlineStr">
        <is>
          <t>2</t>
        </is>
      </c>
      <c r="J19" s="17" t="inlineStr">
        <is>
          <t>Med</t>
        </is>
      </c>
      <c r="K19" s="12" t="inlineStr">
        <is>
          <t>Low</t>
        </is>
      </c>
      <c r="L19" s="6" t="inlineStr">
        <is>
          <t>SF-16</t>
        </is>
      </c>
    </row>
    <row r="20">
      <c r="B20" s="16" t="inlineStr">
        <is>
          <t>HZ-X01</t>
        </is>
      </c>
      <c r="C20" s="6" t="inlineStr">
        <is>
          <t>OE-1</t>
        </is>
      </c>
      <c r="D20" s="6" t="inlineStr">
        <is>
          <t>MJF PA12 dust inhalation during repair</t>
        </is>
      </c>
      <c r="E20" s="17" t="inlineStr">
        <is>
          <t>S1</t>
        </is>
      </c>
      <c r="F20" s="17" t="inlineStr">
        <is>
          <t>F1</t>
        </is>
      </c>
      <c r="G20" s="17" t="inlineStr">
        <is>
          <t>P1</t>
        </is>
      </c>
      <c r="H20" s="12" t="inlineStr">
        <is>
          <t>a</t>
        </is>
      </c>
      <c r="I20" s="17" t="inlineStr">
        <is>
          <t>B</t>
        </is>
      </c>
      <c r="J20" s="17" t="inlineStr">
        <is>
          <t>Low</t>
        </is>
      </c>
      <c r="K20" s="12" t="inlineStr">
        <is>
          <t>Low</t>
        </is>
      </c>
      <c r="L20" s="6" t="inlineStr">
        <is>
          <t>SF-17 (PPE)</t>
        </is>
      </c>
    </row>
    <row r="21">
      <c r="B21" s="16" t="inlineStr">
        <is>
          <t>HZ-G01</t>
        </is>
      </c>
      <c r="C21" s="6" t="inlineStr">
        <is>
          <t>All</t>
        </is>
      </c>
      <c r="D21" s="6" t="inlineStr">
        <is>
          <t>Lifting injury (35 kg)</t>
        </is>
      </c>
      <c r="E21" s="17" t="inlineStr">
        <is>
          <t>S2</t>
        </is>
      </c>
      <c r="F21" s="17" t="inlineStr">
        <is>
          <t>F2</t>
        </is>
      </c>
      <c r="G21" s="17" t="inlineStr">
        <is>
          <t>P1</t>
        </is>
      </c>
      <c r="H21" s="11" t="inlineStr">
        <is>
          <t>d</t>
        </is>
      </c>
      <c r="I21" s="17" t="inlineStr">
        <is>
          <t>3</t>
        </is>
      </c>
      <c r="J21" s="17" t="inlineStr">
        <is>
          <t>High</t>
        </is>
      </c>
      <c r="K21" s="10" t="inlineStr">
        <is>
          <t>Med</t>
        </is>
      </c>
      <c r="L21" s="6" t="inlineStr">
        <is>
          <t>SF-18 (procedure)</t>
        </is>
      </c>
    </row>
    <row r="22">
      <c r="B22" s="16" t="inlineStr">
        <is>
          <t>HZ-V03</t>
        </is>
      </c>
      <c r="C22" s="6" t="inlineStr">
        <is>
          <t>OE-3..4</t>
        </is>
      </c>
      <c r="D22" s="6" t="inlineStr">
        <is>
          <t>Wet floor / moisture ingress → short or slip</t>
        </is>
      </c>
      <c r="E22" s="17" t="inlineStr">
        <is>
          <t>S2</t>
        </is>
      </c>
      <c r="F22" s="17" t="inlineStr">
        <is>
          <t>F1</t>
        </is>
      </c>
      <c r="G22" s="17" t="inlineStr">
        <is>
          <t>P2</t>
        </is>
      </c>
      <c r="H22" s="11" t="inlineStr">
        <is>
          <t>d</t>
        </is>
      </c>
      <c r="I22" s="17" t="inlineStr">
        <is>
          <t>3</t>
        </is>
      </c>
      <c r="J22" s="17" t="inlineStr">
        <is>
          <t>High</t>
        </is>
      </c>
      <c r="K22" s="10" t="inlineStr">
        <is>
          <t>Med</t>
        </is>
      </c>
      <c r="L22" s="6" t="inlineStr">
        <is>
          <t>SF-19</t>
        </is>
      </c>
    </row>
    <row r="23">
      <c r="B23" s="16" t="inlineStr">
        <is>
          <t>HZ-P02</t>
        </is>
      </c>
      <c r="C23" s="6" t="inlineStr">
        <is>
          <t>OE-3..4</t>
        </is>
      </c>
      <c r="D23" s="6" t="inlineStr">
        <is>
          <t>Locomotion policy edge case → hazardous trajectory</t>
        </is>
      </c>
      <c r="E23" s="17" t="inlineStr">
        <is>
          <t>S2</t>
        </is>
      </c>
      <c r="F23" s="17" t="inlineStr">
        <is>
          <t>F2</t>
        </is>
      </c>
      <c r="G23" s="17" t="inlineStr">
        <is>
          <t>P2</t>
        </is>
      </c>
      <c r="H23" s="11" t="inlineStr">
        <is>
          <t>e</t>
        </is>
      </c>
      <c r="I23" s="17" t="inlineStr">
        <is>
          <t>4</t>
        </is>
      </c>
      <c r="J23" s="17" t="inlineStr">
        <is>
          <t>V.High</t>
        </is>
      </c>
      <c r="K23" s="11" t="inlineStr">
        <is>
          <t>High</t>
        </is>
      </c>
      <c r="L23" s="6" t="inlineStr">
        <is>
          <t>SF-01,SF-04,SF-08</t>
        </is>
      </c>
    </row>
    <row r="24">
      <c r="B24" s="16" t="inlineStr">
        <is>
          <t>HZ-P03</t>
        </is>
      </c>
      <c r="C24" s="6" t="inlineStr">
        <is>
          <t>All</t>
        </is>
      </c>
      <c r="D24" s="6" t="inlineStr">
        <is>
          <t>Power loss mid-stride → uncontrolled fall</t>
        </is>
      </c>
      <c r="E24" s="17" t="inlineStr">
        <is>
          <t>S2</t>
        </is>
      </c>
      <c r="F24" s="17" t="inlineStr">
        <is>
          <t>F1</t>
        </is>
      </c>
      <c r="G24" s="17" t="inlineStr">
        <is>
          <t>P2</t>
        </is>
      </c>
      <c r="H24" s="11" t="inlineStr">
        <is>
          <t>d</t>
        </is>
      </c>
      <c r="I24" s="17" t="inlineStr">
        <is>
          <t>3</t>
        </is>
      </c>
      <c r="J24" s="17" t="inlineStr">
        <is>
          <t>High</t>
        </is>
      </c>
      <c r="K24" s="10" t="inlineStr">
        <is>
          <t>Med</t>
        </is>
      </c>
      <c r="L24" s="6" t="inlineStr">
        <is>
          <t>SF-08,SF-15</t>
        </is>
      </c>
    </row>
    <row r="25">
      <c r="B25" s="16" t="inlineStr">
        <is>
          <t>HZ-P04</t>
        </is>
      </c>
      <c r="C25" s="6" t="inlineStr">
        <is>
          <t>OE-2..4</t>
        </is>
      </c>
      <c r="D25" s="6" t="inlineStr">
        <is>
          <t>Intentional contact exceeds force limits</t>
        </is>
      </c>
      <c r="E25" s="17" t="inlineStr">
        <is>
          <t>S2</t>
        </is>
      </c>
      <c r="F25" s="17" t="inlineStr">
        <is>
          <t>F2</t>
        </is>
      </c>
      <c r="G25" s="17" t="inlineStr">
        <is>
          <t>P2</t>
        </is>
      </c>
      <c r="H25" s="11" t="inlineStr">
        <is>
          <t>e</t>
        </is>
      </c>
      <c r="I25" s="17" t="inlineStr">
        <is>
          <t>4</t>
        </is>
      </c>
      <c r="J25" s="17" t="inlineStr">
        <is>
          <t>V.High</t>
        </is>
      </c>
      <c r="K25" s="11" t="inlineStr">
        <is>
          <t>High</t>
        </is>
      </c>
      <c r="L25" s="6" t="inlineStr">
        <is>
          <t>SF-04,SF-20</t>
        </is>
      </c>
    </row>
    <row r="26">
      <c r="B26" s="16" t="inlineStr">
        <is>
          <t>HZ-P06</t>
        </is>
      </c>
      <c r="C26" s="6" t="inlineStr">
        <is>
          <t>OE-3..4</t>
        </is>
      </c>
      <c r="D26" s="6" t="inlineStr">
        <is>
          <t>Person leans on robot → tip-over</t>
        </is>
      </c>
      <c r="E26" s="17" t="inlineStr">
        <is>
          <t>S2</t>
        </is>
      </c>
      <c r="F26" s="17" t="inlineStr">
        <is>
          <t>F1</t>
        </is>
      </c>
      <c r="G26" s="17" t="inlineStr">
        <is>
          <t>P2</t>
        </is>
      </c>
      <c r="H26" s="11" t="inlineStr">
        <is>
          <t>d</t>
        </is>
      </c>
      <c r="I26" s="17" t="inlineStr">
        <is>
          <t>3</t>
        </is>
      </c>
      <c r="J26" s="17" t="inlineStr">
        <is>
          <t>High</t>
        </is>
      </c>
      <c r="K26" s="10" t="inlineStr">
        <is>
          <t>Med</t>
        </is>
      </c>
      <c r="L26" s="6" t="inlineStr">
        <is>
          <t>SF-08</t>
        </is>
      </c>
    </row>
    <row r="27">
      <c r="B27" s="16" t="inlineStr">
        <is>
          <t>HZ-C01</t>
        </is>
      </c>
      <c r="C27" s="6" t="inlineStr">
        <is>
          <t>All</t>
        </is>
      </c>
      <c r="D27" s="6" t="inlineStr">
        <is>
          <t>WebRTC drop in MOVE → DAMP drops the robot</t>
        </is>
      </c>
      <c r="E27" s="17" t="inlineStr">
        <is>
          <t>S2</t>
        </is>
      </c>
      <c r="F27" s="17" t="inlineStr">
        <is>
          <t>F2</t>
        </is>
      </c>
      <c r="G27" s="17" t="inlineStr">
        <is>
          <t>P2</t>
        </is>
      </c>
      <c r="H27" s="11" t="inlineStr">
        <is>
          <t>e</t>
        </is>
      </c>
      <c r="I27" s="17" t="inlineStr">
        <is>
          <t>4</t>
        </is>
      </c>
      <c r="J27" s="17" t="inlineStr">
        <is>
          <t>V.High</t>
        </is>
      </c>
      <c r="K27" s="10" t="inlineStr">
        <is>
          <t>Med</t>
        </is>
      </c>
      <c r="L27" s="6" t="inlineStr">
        <is>
          <t>SF-08</t>
        </is>
      </c>
    </row>
    <row r="28">
      <c r="B28" s="16" t="inlineStr">
        <is>
          <t>HZ-C02</t>
        </is>
      </c>
      <c r="C28" s="6" t="inlineStr">
        <is>
          <t>OE-2..4</t>
        </is>
      </c>
      <c r="D28" s="6" t="inlineStr">
        <is>
          <t>Unauthorised tele-op command</t>
        </is>
      </c>
      <c r="E28" s="17" t="inlineStr">
        <is>
          <t>S2</t>
        </is>
      </c>
      <c r="F28" s="17" t="inlineStr">
        <is>
          <t>F1</t>
        </is>
      </c>
      <c r="G28" s="17" t="inlineStr">
        <is>
          <t>P2</t>
        </is>
      </c>
      <c r="H28" s="11" t="inlineStr">
        <is>
          <t>d</t>
        </is>
      </c>
      <c r="I28" s="17" t="inlineStr">
        <is>
          <t>3</t>
        </is>
      </c>
      <c r="J28" s="17" t="inlineStr">
        <is>
          <t>High</t>
        </is>
      </c>
      <c r="K28" s="10" t="inlineStr">
        <is>
          <t>Med</t>
        </is>
      </c>
      <c r="L28" s="6" t="inlineStr">
        <is>
          <t>SF-21,SF-22</t>
        </is>
      </c>
    </row>
    <row r="29">
      <c r="B29" s="16" t="inlineStr">
        <is>
          <t>HZ-C03</t>
        </is>
      </c>
      <c r="C29" s="6" t="inlineStr">
        <is>
          <t>All</t>
        </is>
      </c>
      <c r="D29" s="6" t="inlineStr">
        <is>
          <t>IMU stuck → balance controller diverges</t>
        </is>
      </c>
      <c r="E29" s="17" t="inlineStr">
        <is>
          <t>S2</t>
        </is>
      </c>
      <c r="F29" s="17" t="inlineStr">
        <is>
          <t>F2</t>
        </is>
      </c>
      <c r="G29" s="17" t="inlineStr">
        <is>
          <t>P2</t>
        </is>
      </c>
      <c r="H29" s="11" t="inlineStr">
        <is>
          <t>e</t>
        </is>
      </c>
      <c r="I29" s="17" t="inlineStr">
        <is>
          <t>4</t>
        </is>
      </c>
      <c r="J29" s="17" t="inlineStr">
        <is>
          <t>V.High</t>
        </is>
      </c>
      <c r="K29" s="10" t="inlineStr">
        <is>
          <t>Med</t>
        </is>
      </c>
      <c r="L29" s="6" t="inlineStr">
        <is>
          <t>SF-23</t>
        </is>
      </c>
    </row>
    <row r="30">
      <c r="B30" s="16" t="inlineStr">
        <is>
          <t>HZ-C04</t>
        </is>
      </c>
      <c r="C30" s="6" t="inlineStr">
        <is>
          <t>All</t>
        </is>
      </c>
      <c r="D30" s="6" t="inlineStr">
        <is>
          <t>Control-loop deadlock holds last torque</t>
        </is>
      </c>
      <c r="E30" s="17" t="inlineStr">
        <is>
          <t>S2</t>
        </is>
      </c>
      <c r="F30" s="17" t="inlineStr">
        <is>
          <t>F2</t>
        </is>
      </c>
      <c r="G30" s="17" t="inlineStr">
        <is>
          <t>P2</t>
        </is>
      </c>
      <c r="H30" s="11" t="inlineStr">
        <is>
          <t>e</t>
        </is>
      </c>
      <c r="I30" s="17" t="inlineStr">
        <is>
          <t>4</t>
        </is>
      </c>
      <c r="J30" s="17" t="inlineStr">
        <is>
          <t>V.High</t>
        </is>
      </c>
      <c r="K30" s="10" t="inlineStr">
        <is>
          <t>Med</t>
        </is>
      </c>
      <c r="L30" s="6" t="inlineStr">
        <is>
          <t>SF-24</t>
        </is>
      </c>
    </row>
    <row r="31">
      <c r="B31" s="16" t="inlineStr">
        <is>
          <t>HZ-C05</t>
        </is>
      </c>
      <c r="C31" s="6" t="inlineStr">
        <is>
          <t>OE-2..4</t>
        </is>
      </c>
      <c r="D31" s="6" t="inlineStr">
        <is>
          <t>Joint limit overshoot</t>
        </is>
      </c>
      <c r="E31" s="17" t="inlineStr">
        <is>
          <t>S1</t>
        </is>
      </c>
      <c r="F31" s="17" t="inlineStr">
        <is>
          <t>F2</t>
        </is>
      </c>
      <c r="G31" s="17" t="inlineStr">
        <is>
          <t>P2</t>
        </is>
      </c>
      <c r="H31" s="10" t="inlineStr">
        <is>
          <t>c</t>
        </is>
      </c>
      <c r="I31" s="17" t="inlineStr">
        <is>
          <t>2</t>
        </is>
      </c>
      <c r="J31" s="17" t="inlineStr">
        <is>
          <t>Med</t>
        </is>
      </c>
      <c r="K31" s="12" t="inlineStr">
        <is>
          <t>Low</t>
        </is>
      </c>
      <c r="L31" s="6" t="inlineStr">
        <is>
          <t>SF-25</t>
        </is>
      </c>
    </row>
    <row r="32">
      <c r="B32" s="16" t="inlineStr">
        <is>
          <t>HZ-V01</t>
        </is>
      </c>
      <c r="C32" s="6" t="inlineStr">
        <is>
          <t>All</t>
        </is>
      </c>
      <c r="D32" s="6" t="inlineStr">
        <is>
          <t>Hand-arm vibration during tele-op (tablet)</t>
        </is>
      </c>
      <c r="E32" s="17" t="inlineStr">
        <is>
          <t>S1</t>
        </is>
      </c>
      <c r="F32" s="17" t="inlineStr">
        <is>
          <t>F1</t>
        </is>
      </c>
      <c r="G32" s="17" t="inlineStr">
        <is>
          <t>P1</t>
        </is>
      </c>
      <c r="H32" s="12" t="inlineStr">
        <is>
          <t>a</t>
        </is>
      </c>
      <c r="I32" s="17" t="inlineStr">
        <is>
          <t>B</t>
        </is>
      </c>
      <c r="J32" s="17" t="inlineStr">
        <is>
          <t>Low</t>
        </is>
      </c>
      <c r="K32" s="12" t="inlineStr">
        <is>
          <t>Low</t>
        </is>
      </c>
      <c r="L32" s="6" t="inlineStr">
        <is>
          <t>Inherently low — no SF</t>
        </is>
      </c>
    </row>
    <row r="33">
      <c r="B33" s="16" t="inlineStr">
        <is>
          <t>HZ-R01</t>
        </is>
      </c>
      <c r="C33" s="6" t="inlineStr">
        <is>
          <t>All</t>
        </is>
      </c>
      <c r="D33" s="6" t="inlineStr">
        <is>
          <t>Optical / IR radiation from camera module</t>
        </is>
      </c>
      <c r="E33" s="17" t="inlineStr">
        <is>
          <t>S1</t>
        </is>
      </c>
      <c r="F33" s="17" t="inlineStr">
        <is>
          <t>F1</t>
        </is>
      </c>
      <c r="G33" s="17" t="inlineStr">
        <is>
          <t>P1</t>
        </is>
      </c>
      <c r="H33" s="12" t="inlineStr">
        <is>
          <t>a</t>
        </is>
      </c>
      <c r="I33" s="17" t="inlineStr">
        <is>
          <t>B</t>
        </is>
      </c>
      <c r="J33" s="17" t="inlineStr">
        <is>
          <t>Low</t>
        </is>
      </c>
      <c r="K33" s="12" t="inlineStr">
        <is>
          <t>Low</t>
        </is>
      </c>
      <c r="L33" s="6" t="inlineStr">
        <is>
          <t>Inherently low — no SF</t>
        </is>
      </c>
    </row>
    <row r="34">
      <c r="B34" s="16" t="inlineStr">
        <is>
          <t>HZ-V02</t>
        </is>
      </c>
      <c r="C34" s="6" t="inlineStr">
        <is>
          <t>OE-3..4</t>
        </is>
      </c>
      <c r="D34" s="6" t="inlineStr">
        <is>
          <t>Operation outside +10..+35 °C → torque drift, BMS shutoff</t>
        </is>
      </c>
      <c r="E34" s="17" t="inlineStr">
        <is>
          <t>S1</t>
        </is>
      </c>
      <c r="F34" s="17" t="inlineStr">
        <is>
          <t>F2</t>
        </is>
      </c>
      <c r="G34" s="17" t="inlineStr">
        <is>
          <t>P1</t>
        </is>
      </c>
      <c r="H34" s="12" t="inlineStr">
        <is>
          <t>b</t>
        </is>
      </c>
      <c r="I34" s="17" t="inlineStr">
        <is>
          <t>1</t>
        </is>
      </c>
      <c r="J34" s="17" t="inlineStr">
        <is>
          <t>Low</t>
        </is>
      </c>
      <c r="K34" s="12" t="inlineStr">
        <is>
          <t>Low</t>
        </is>
      </c>
      <c r="L34" s="6" t="inlineStr">
        <is>
          <t>SF-19 (op restriction)</t>
        </is>
      </c>
    </row>
    <row r="35">
      <c r="B35" s="16" t="inlineStr">
        <is>
          <t>HZ-P01</t>
        </is>
      </c>
      <c r="C35" s="6" t="inlineStr">
        <is>
          <t>Excluded</t>
        </is>
      </c>
      <c r="D35" s="6" t="inlineStr">
        <is>
          <t>Inadequate restraint — scoped out by Assumption A-07</t>
        </is>
      </c>
      <c r="E35" s="17" t="inlineStr">
        <is>
          <t>S2</t>
        </is>
      </c>
      <c r="F35" s="17" t="inlineStr">
        <is>
          <t>F1</t>
        </is>
      </c>
      <c r="G35" s="17" t="inlineStr">
        <is>
          <t>P2</t>
        </is>
      </c>
      <c r="H35" s="11" t="inlineStr">
        <is>
          <t>d</t>
        </is>
      </c>
      <c r="I35" s="17" t="inlineStr">
        <is>
          <t>3</t>
        </is>
      </c>
      <c r="J35" s="17" t="inlineStr">
        <is>
          <t>High</t>
        </is>
      </c>
      <c r="K35" s="12" t="inlineStr">
        <is>
          <t>Low</t>
        </is>
      </c>
      <c r="L35" s="6" t="inlineStr">
        <is>
          <t>Scoped out (A-07)</t>
        </is>
      </c>
    </row>
    <row r="36">
      <c r="B36" s="16" t="inlineStr">
        <is>
          <t>HZ-P05</t>
        </is>
      </c>
      <c r="C36" s="6" t="inlineStr">
        <is>
          <t>Excluded</t>
        </is>
      </c>
      <c r="D36" s="6" t="inlineStr">
        <is>
          <t>Restraint of human — scoped out by Assumption A-07</t>
        </is>
      </c>
      <c r="E36" s="17" t="inlineStr">
        <is>
          <t>S2</t>
        </is>
      </c>
      <c r="F36" s="17" t="inlineStr">
        <is>
          <t>F1</t>
        </is>
      </c>
      <c r="G36" s="17" t="inlineStr">
        <is>
          <t>P2</t>
        </is>
      </c>
      <c r="H36" s="11" t="inlineStr">
        <is>
          <t>d</t>
        </is>
      </c>
      <c r="I36" s="17" t="inlineStr">
        <is>
          <t>3</t>
        </is>
      </c>
      <c r="J36" s="17" t="inlineStr">
        <is>
          <t>High</t>
        </is>
      </c>
      <c r="K36" s="12" t="inlineStr">
        <is>
          <t>Low</t>
        </is>
      </c>
      <c r="L36" s="6" t="inlineStr">
        <is>
          <t>Scoped out (A-07)</t>
        </is>
      </c>
    </row>
    <row r="37">
      <c r="B37" s="16" t="inlineStr">
        <is>
          <t>HZ-P07</t>
        </is>
      </c>
      <c r="C37" s="6" t="inlineStr">
        <is>
          <t>All</t>
        </is>
      </c>
      <c r="D37" s="6" t="inlineStr">
        <is>
          <t>Human cognitive overload from confusing UI / annunciation</t>
        </is>
      </c>
      <c r="E37" s="17" t="inlineStr">
        <is>
          <t>S1</t>
        </is>
      </c>
      <c r="F37" s="17" t="inlineStr">
        <is>
          <t>F2</t>
        </is>
      </c>
      <c r="G37" s="17" t="inlineStr">
        <is>
          <t>P1</t>
        </is>
      </c>
      <c r="H37" s="12" t="inlineStr">
        <is>
          <t>b</t>
        </is>
      </c>
      <c r="I37" s="17" t="inlineStr">
        <is>
          <t>1</t>
        </is>
      </c>
      <c r="J37" s="17" t="inlineStr">
        <is>
          <t>Low</t>
        </is>
      </c>
      <c r="K37" s="12" t="inlineStr">
        <is>
          <t>Low</t>
        </is>
      </c>
      <c r="L37" s="6" t="inlineStr">
        <is>
          <t>SF-22 + docs</t>
        </is>
      </c>
    </row>
  </sheetData>
  <mergeCells count="2">
    <mergeCell ref="B2:L2"/>
    <mergeCell ref="B3:L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L2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22" customWidth="1" min="3" max="3"/>
    <col width="22" customWidth="1" min="4" max="4"/>
    <col width="22" customWidth="1" min="5" max="5"/>
    <col width="26" customWidth="1" min="6" max="6"/>
    <col width="6" customWidth="1" min="7" max="7"/>
    <col width="6" customWidth="1" min="8" max="8"/>
    <col width="6" customWidth="1" min="9" max="9"/>
    <col width="8" customWidth="1" min="10" max="10"/>
    <col width="22" customWidth="1" min="11" max="11"/>
  </cols>
  <sheetData>
    <row r="2">
      <c r="B2" s="4" t="inlineStr">
        <is>
          <t>System-level FMEA (AIAG-VDA Action Priority)</t>
        </is>
      </c>
    </row>
    <row r="3">
      <c r="B3" s="24" t="inlineStr">
        <is>
          <t>S/O/D each 1–10. Action Priority: H = high (S≥9 or S+O≥13), M = medium, L = low. Aligns to AIAG-VDA 2019.</t>
        </is>
      </c>
    </row>
    <row r="5">
      <c r="A5" s="15" t="inlineStr"/>
      <c r="B5" s="15" t="inlineStr">
        <is>
          <t>Element</t>
        </is>
      </c>
      <c r="C5" s="15" t="inlineStr">
        <is>
          <t>Function</t>
        </is>
      </c>
      <c r="D5" s="15" t="inlineStr">
        <is>
          <t>Failure mode</t>
        </is>
      </c>
      <c r="E5" s="15" t="inlineStr">
        <is>
          <t>Failure effect (system)</t>
        </is>
      </c>
      <c r="F5" s="15" t="inlineStr">
        <is>
          <t>Cause / mechanism</t>
        </is>
      </c>
      <c r="G5" s="15" t="inlineStr">
        <is>
          <t>S</t>
        </is>
      </c>
      <c r="H5" s="15" t="inlineStr">
        <is>
          <t>O</t>
        </is>
      </c>
      <c r="I5" s="15" t="inlineStr">
        <is>
          <t>D</t>
        </is>
      </c>
      <c r="J5" s="15" t="inlineStr">
        <is>
          <t>AP</t>
        </is>
      </c>
      <c r="K5" s="15" t="inlineStr">
        <is>
          <t>Mitigation / SF</t>
        </is>
      </c>
    </row>
    <row r="6">
      <c r="B6" s="16" t="inlineStr">
        <is>
          <t>Actuator (typ. of 25)</t>
        </is>
      </c>
      <c r="C6" s="6" t="inlineStr">
        <is>
          <t>Apply commanded torque to joint</t>
        </is>
      </c>
      <c r="D6" s="6" t="inlineStr">
        <is>
          <t>Loss of torque (open winding)</t>
        </is>
      </c>
      <c r="E6" s="6" t="inlineStr">
        <is>
          <t>Joint limp; if load-bearing → fall</t>
        </is>
      </c>
      <c r="F6" s="6" t="inlineStr">
        <is>
          <t>Wear, overcurrent, connector dropout</t>
        </is>
      </c>
      <c r="G6" s="17" t="n">
        <v>8</v>
      </c>
      <c r="H6" s="17" t="n">
        <v>4</v>
      </c>
      <c r="I6" s="17" t="n">
        <v>5</v>
      </c>
      <c r="J6" s="10" t="inlineStr">
        <is>
          <t>M</t>
        </is>
      </c>
      <c r="K6" s="6" t="inlineStr">
        <is>
          <t>see tab 09</t>
        </is>
      </c>
    </row>
    <row r="7">
      <c r="B7" s="16" t="inlineStr">
        <is>
          <t>Actuator</t>
        </is>
      </c>
      <c r="C7" s="6" t="inlineStr">
        <is>
          <t>Apply commanded torque</t>
        </is>
      </c>
      <c r="D7" s="6" t="inlineStr">
        <is>
          <t>Runaway (full torque)</t>
        </is>
      </c>
      <c r="E7" s="6" t="inlineStr">
        <is>
          <t>Uncommanded high-speed motion of limb</t>
        </is>
      </c>
      <c r="F7" s="6" t="inlineStr">
        <is>
          <t>Encoder fault, FET short, FW bug</t>
        </is>
      </c>
      <c r="G7" s="17" t="n">
        <v>9</v>
      </c>
      <c r="H7" s="17" t="n">
        <v>3</v>
      </c>
      <c r="I7" s="17" t="n">
        <v>6</v>
      </c>
      <c r="J7" s="11" t="inlineStr">
        <is>
          <t>H</t>
        </is>
      </c>
      <c r="K7" s="6" t="inlineStr">
        <is>
          <t>see tab 09</t>
        </is>
      </c>
    </row>
    <row r="8">
      <c r="B8" s="16" t="inlineStr">
        <is>
          <t>Actuator</t>
        </is>
      </c>
      <c r="C8" s="6" t="inlineStr">
        <is>
          <t>Joint position feedback</t>
        </is>
      </c>
      <c r="D8" s="6" t="inlineStr">
        <is>
          <t>Encoder stuck</t>
        </is>
      </c>
      <c r="E8" s="6" t="inlineStr">
        <is>
          <t>Balance / position controller diverges</t>
        </is>
      </c>
      <c r="F8" s="6" t="inlineStr">
        <is>
          <t>Optical contamination, ASIC fault</t>
        </is>
      </c>
      <c r="G8" s="17" t="n">
        <v>8</v>
      </c>
      <c r="H8" s="17" t="n">
        <v>3</v>
      </c>
      <c r="I8" s="17" t="n">
        <v>5</v>
      </c>
      <c r="J8" s="10" t="inlineStr">
        <is>
          <t>M</t>
        </is>
      </c>
      <c r="K8" s="6" t="inlineStr">
        <is>
          <t>see tab 09</t>
        </is>
      </c>
    </row>
    <row r="9">
      <c r="B9" s="16" t="inlineStr">
        <is>
          <t>Actuator</t>
        </is>
      </c>
      <c r="C9" s="6" t="inlineStr">
        <is>
          <t>Thermal limit</t>
        </is>
      </c>
      <c r="D9" s="6" t="inlineStr">
        <is>
          <t>Overtemp not detected</t>
        </is>
      </c>
      <c r="E9" s="6" t="inlineStr">
        <is>
          <t>Stator burn, fire risk</t>
        </is>
      </c>
      <c r="F9" s="6" t="inlineStr">
        <is>
          <t>Missing thermistor, FW threshold high</t>
        </is>
      </c>
      <c r="G9" s="17" t="n">
        <v>8</v>
      </c>
      <c r="H9" s="17" t="n">
        <v>2</v>
      </c>
      <c r="I9" s="17" t="n">
        <v>6</v>
      </c>
      <c r="J9" s="10" t="inlineStr">
        <is>
          <t>M</t>
        </is>
      </c>
      <c r="K9" s="6" t="inlineStr">
        <is>
          <t>see tab 09</t>
        </is>
      </c>
    </row>
    <row r="10">
      <c r="B10" s="16" t="inlineStr">
        <is>
          <t>MCB (Radxa CM5)</t>
        </is>
      </c>
      <c r="C10" s="6" t="inlineStr">
        <is>
          <t>Run motion-control loop @ kHz</t>
        </is>
      </c>
      <c r="D10" s="6" t="inlineStr">
        <is>
          <t>OS hang / scheduler stall</t>
        </is>
      </c>
      <c r="E10" s="6" t="inlineStr">
        <is>
          <t>All joints hold last command (HZ-C04)</t>
        </is>
      </c>
      <c r="F10" s="6" t="inlineStr">
        <is>
          <t>Memory pressure, kernel preemption</t>
        </is>
      </c>
      <c r="G10" s="17" t="n">
        <v>8</v>
      </c>
      <c r="H10" s="17" t="n">
        <v>4</v>
      </c>
      <c r="I10" s="17" t="n">
        <v>6</v>
      </c>
      <c r="J10" s="10" t="inlineStr">
        <is>
          <t>M</t>
        </is>
      </c>
      <c r="K10" s="6" t="inlineStr">
        <is>
          <t>see tab 09</t>
        </is>
      </c>
    </row>
    <row r="11">
      <c r="B11" s="16" t="inlineStr">
        <is>
          <t>MCB</t>
        </is>
      </c>
      <c r="C11" s="6" t="inlineStr">
        <is>
          <t>Distribute CAN traffic</t>
        </is>
      </c>
      <c r="D11" s="6" t="inlineStr">
        <is>
          <t>CAN bus B0/B1 down</t>
        </is>
      </c>
      <c r="E11" s="6" t="inlineStr">
        <is>
          <t>Loss of one leg → fall</t>
        </is>
      </c>
      <c r="F11" s="6" t="inlineStr">
        <is>
          <t>Connector, terminator, transceiver</t>
        </is>
      </c>
      <c r="G11" s="17" t="n">
        <v>9</v>
      </c>
      <c r="H11" s="17" t="n">
        <v>3</v>
      </c>
      <c r="I11" s="17" t="n">
        <v>5</v>
      </c>
      <c r="J11" s="11" t="inlineStr">
        <is>
          <t>H</t>
        </is>
      </c>
      <c r="K11" s="6" t="inlineStr">
        <is>
          <t>see tab 09</t>
        </is>
      </c>
    </row>
    <row r="12">
      <c r="B12" s="16" t="inlineStr">
        <is>
          <t>MCB</t>
        </is>
      </c>
      <c r="C12" s="6" t="inlineStr">
        <is>
          <t>Run watchdog</t>
        </is>
      </c>
      <c r="D12" s="6" t="inlineStr">
        <is>
          <t>Watchdog not armed / mis-config</t>
        </is>
      </c>
      <c r="E12" s="6" t="inlineStr">
        <is>
          <t>No DAMP on disconnect</t>
        </is>
      </c>
      <c r="F12" s="6" t="inlineStr">
        <is>
          <t>FW config, missing test</t>
        </is>
      </c>
      <c r="G12" s="17" t="n">
        <v>9</v>
      </c>
      <c r="H12" s="17" t="n">
        <v>3</v>
      </c>
      <c r="I12" s="17" t="n">
        <v>6</v>
      </c>
      <c r="J12" s="11" t="inlineStr">
        <is>
          <t>H</t>
        </is>
      </c>
      <c r="K12" s="6" t="inlineStr">
        <is>
          <t>see tab 09</t>
        </is>
      </c>
    </row>
    <row r="13">
      <c r="B13" s="16" t="inlineStr">
        <is>
          <t>MCB IMU (LSM6DSV)</t>
        </is>
      </c>
      <c r="C13" s="6" t="inlineStr">
        <is>
          <t>Provide 6-DOF IMU @ ≥200 Hz</t>
        </is>
      </c>
      <c r="D13" s="6" t="inlineStr">
        <is>
          <t>Stuck / saturated reading</t>
        </is>
      </c>
      <c r="E13" s="6" t="inlineStr">
        <is>
          <t>Balance loop unstable (HZ-C03)</t>
        </is>
      </c>
      <c r="F13" s="6" t="inlineStr">
        <is>
          <t>MEMS damage, I2C bus error</t>
        </is>
      </c>
      <c r="G13" s="17" t="n">
        <v>8</v>
      </c>
      <c r="H13" s="17" t="n">
        <v>3</v>
      </c>
      <c r="I13" s="17" t="n">
        <v>5</v>
      </c>
      <c r="J13" s="10" t="inlineStr">
        <is>
          <t>M</t>
        </is>
      </c>
      <c r="K13" s="6" t="inlineStr">
        <is>
          <t>see tab 09</t>
        </is>
      </c>
    </row>
    <row r="14">
      <c r="B14" s="16" t="inlineStr">
        <is>
          <t>RPi5 edge</t>
        </is>
      </c>
      <c r="C14" s="6" t="inlineStr">
        <is>
          <t>Run media + WebRTC + tele-op gw</t>
        </is>
      </c>
      <c r="D14" s="6" t="inlineStr">
        <is>
          <t>Comms loss</t>
        </is>
      </c>
      <c r="E14" s="6" t="inlineStr">
        <is>
          <t>Watchdog → DAMP (HZ-C01)</t>
        </is>
      </c>
      <c r="F14" s="6" t="inlineStr">
        <is>
          <t>Wi-Fi loss, cell loss, OS</t>
        </is>
      </c>
      <c r="G14" s="17" t="n">
        <v>7</v>
      </c>
      <c r="H14" s="17" t="n">
        <v>5</v>
      </c>
      <c r="I14" s="17" t="n">
        <v>4</v>
      </c>
      <c r="J14" s="10" t="inlineStr">
        <is>
          <t>M</t>
        </is>
      </c>
      <c r="K14" s="6" t="inlineStr">
        <is>
          <t>see tab 09</t>
        </is>
      </c>
    </row>
    <row r="15">
      <c r="B15" s="16" t="inlineStr">
        <is>
          <t>RPi5 edge</t>
        </is>
      </c>
      <c r="C15" s="6" t="inlineStr">
        <is>
          <t>Authenticate operator</t>
        </is>
      </c>
      <c r="D15" s="6" t="inlineStr">
        <is>
          <t>Auth bypass</t>
        </is>
      </c>
      <c r="E15" s="6" t="inlineStr">
        <is>
          <t>Unauthorised command (HZ-C02)</t>
        </is>
      </c>
      <c r="F15" s="6" t="inlineStr">
        <is>
          <t>Mis-config, weak token, no TLS</t>
        </is>
      </c>
      <c r="G15" s="17" t="n">
        <v>9</v>
      </c>
      <c r="H15" s="17" t="n">
        <v>2</v>
      </c>
      <c r="I15" s="17" t="n">
        <v>7</v>
      </c>
      <c r="J15" s="11" t="inlineStr">
        <is>
          <t>H</t>
        </is>
      </c>
      <c r="K15" s="6" t="inlineStr">
        <is>
          <t>see tab 09</t>
        </is>
      </c>
    </row>
    <row r="16">
      <c r="B16" s="16" t="inlineStr">
        <is>
          <t>Power Distribution</t>
        </is>
      </c>
      <c r="C16" s="6" t="inlineStr">
        <is>
          <t>Distribute 5 V / motor rails</t>
        </is>
      </c>
      <c r="D16" s="6" t="inlineStr">
        <is>
          <t>Short to chassis</t>
        </is>
      </c>
      <c r="E16" s="6" t="inlineStr">
        <is>
          <t>Arc / fire (HZ-E02)</t>
        </is>
      </c>
      <c r="F16" s="6" t="inlineStr">
        <is>
          <t>Harness damage, missing fuse</t>
        </is>
      </c>
      <c r="G16" s="17" t="n">
        <v>9</v>
      </c>
      <c r="H16" s="17" t="n">
        <v>2</v>
      </c>
      <c r="I16" s="17" t="n">
        <v>5</v>
      </c>
      <c r="J16" s="11" t="inlineStr">
        <is>
          <t>H</t>
        </is>
      </c>
      <c r="K16" s="6" t="inlineStr">
        <is>
          <t>see tab 09</t>
        </is>
      </c>
    </row>
    <row r="17">
      <c r="B17" s="16" t="inlineStr">
        <is>
          <t>Power Distribution</t>
        </is>
      </c>
      <c r="C17" s="6" t="inlineStr">
        <is>
          <t>Power-good signalling</t>
        </is>
      </c>
      <c r="D17" s="6" t="inlineStr">
        <is>
          <t>Brown-out below threshold not flagged</t>
        </is>
      </c>
      <c r="E17" s="6" t="inlineStr">
        <is>
          <t>Mid-stride power loss → fall (HZ-P03)</t>
        </is>
      </c>
      <c r="F17" s="6" t="inlineStr">
        <is>
          <t>Missing UVLO, PG glitch</t>
        </is>
      </c>
      <c r="G17" s="17" t="n">
        <v>8</v>
      </c>
      <c r="H17" s="17" t="n">
        <v>3</v>
      </c>
      <c r="I17" s="17" t="n">
        <v>6</v>
      </c>
      <c r="J17" s="10" t="inlineStr">
        <is>
          <t>M</t>
        </is>
      </c>
      <c r="K17" s="6" t="inlineStr">
        <is>
          <t>see tab 09</t>
        </is>
      </c>
    </row>
    <row r="18">
      <c r="B18" s="16" t="inlineStr">
        <is>
          <t>BMS (user-supplied)</t>
        </is>
      </c>
      <c r="C18" s="6" t="inlineStr">
        <is>
          <t>Cell balancing / cutoff</t>
        </is>
      </c>
      <c r="D18" s="6" t="inlineStr">
        <is>
          <t>BMS missing or non-compliant</t>
        </is>
      </c>
      <c r="E18" s="6" t="inlineStr">
        <is>
          <t>Thermal runaway (HZ-T02)</t>
        </is>
      </c>
      <c r="F18" s="6" t="inlineStr">
        <is>
          <t>DIY substitution — Assumption A-02</t>
        </is>
      </c>
      <c r="G18" s="17" t="n">
        <v>9</v>
      </c>
      <c r="H18" s="17" t="n">
        <v>3</v>
      </c>
      <c r="I18" s="17" t="n">
        <v>8</v>
      </c>
      <c r="J18" s="11" t="inlineStr">
        <is>
          <t>H</t>
        </is>
      </c>
      <c r="K18" s="6" t="inlineStr">
        <is>
          <t>see tab 09</t>
        </is>
      </c>
    </row>
    <row r="19">
      <c r="B19" s="16" t="inlineStr">
        <is>
          <t>Wireless E-Stop</t>
        </is>
      </c>
      <c r="C19" s="6" t="inlineStr">
        <is>
          <t>Open motor power on press</t>
        </is>
      </c>
      <c r="D19" s="6" t="inlineStr">
        <is>
          <t>Receiver lost / RF jammed</t>
        </is>
      </c>
      <c r="E19" s="6" t="inlineStr">
        <is>
          <t>E-Stop ineffective (HZ-E04)</t>
        </is>
      </c>
      <c r="F19" s="6" t="inlineStr">
        <is>
          <t>Battery dead, RF interference</t>
        </is>
      </c>
      <c r="G19" s="17" t="n">
        <v>9</v>
      </c>
      <c r="H19" s="17" t="n">
        <v>3</v>
      </c>
      <c r="I19" s="17" t="n">
        <v>5</v>
      </c>
      <c r="J19" s="11" t="inlineStr">
        <is>
          <t>H</t>
        </is>
      </c>
      <c r="K19" s="6" t="inlineStr">
        <is>
          <t>see tab 09</t>
        </is>
      </c>
    </row>
    <row r="20">
      <c r="B20" s="16" t="inlineStr">
        <is>
          <t>Wireless E-Stop</t>
        </is>
      </c>
      <c r="C20" s="6" t="inlineStr">
        <is>
          <t>Re-arm</t>
        </is>
      </c>
      <c r="D20" s="6" t="inlineStr">
        <is>
          <t>Auto-rearm allows restart unsafely</t>
        </is>
      </c>
      <c r="E20" s="6" t="inlineStr">
        <is>
          <t>Restart with operator out of position</t>
        </is>
      </c>
      <c r="F20" s="6" t="inlineStr">
        <is>
          <t>FW logic</t>
        </is>
      </c>
      <c r="G20" s="17" t="n">
        <v>7</v>
      </c>
      <c r="H20" s="17" t="n">
        <v>3</v>
      </c>
      <c r="I20" s="17" t="n">
        <v>6</v>
      </c>
      <c r="J20" s="10" t="inlineStr">
        <is>
          <t>M</t>
        </is>
      </c>
      <c r="K20" s="6" t="inlineStr">
        <is>
          <t>see tab 09</t>
        </is>
      </c>
    </row>
    <row r="21">
      <c r="B21" s="16" t="inlineStr">
        <is>
          <t>Harness (CAN x6)</t>
        </is>
      </c>
      <c r="C21" s="6" t="inlineStr">
        <is>
          <t>Carry signals</t>
        </is>
      </c>
      <c r="D21" s="6" t="inlineStr">
        <is>
          <t>Termination missing → reflections</t>
        </is>
      </c>
      <c r="E21" s="6" t="inlineStr">
        <is>
          <t>CAN bus errors → bus-off</t>
        </is>
      </c>
      <c r="F21" s="6" t="inlineStr">
        <is>
          <t>DIY assembly, ageing</t>
        </is>
      </c>
      <c r="G21" s="17" t="n">
        <v>7</v>
      </c>
      <c r="H21" s="17" t="n">
        <v>5</v>
      </c>
      <c r="I21" s="17" t="n">
        <v>5</v>
      </c>
      <c r="J21" s="10" t="inlineStr">
        <is>
          <t>M</t>
        </is>
      </c>
      <c r="K21" s="6" t="inlineStr">
        <is>
          <t>see tab 09</t>
        </is>
      </c>
    </row>
    <row r="22">
      <c r="B22" s="16" t="inlineStr">
        <is>
          <t>7075 structural</t>
        </is>
      </c>
      <c r="C22" s="6" t="inlineStr">
        <is>
          <t>Carry static + dynamic load</t>
        </is>
      </c>
      <c r="D22" s="6" t="inlineStr">
        <is>
          <t>Fatigue crack at hip yoke</t>
        </is>
      </c>
      <c r="E22" s="6" t="inlineStr">
        <is>
          <t>Sudden joint failure → fall</t>
        </is>
      </c>
      <c r="F22" s="6" t="inlineStr">
        <is>
          <t>Repeated load, defect, substituted al.</t>
        </is>
      </c>
      <c r="G22" s="17" t="n">
        <v>9</v>
      </c>
      <c r="H22" s="17" t="n">
        <v>2</v>
      </c>
      <c r="I22" s="17" t="n">
        <v>7</v>
      </c>
      <c r="J22" s="11" t="inlineStr">
        <is>
          <t>H</t>
        </is>
      </c>
      <c r="K22" s="6" t="inlineStr">
        <is>
          <t>see tab 09</t>
        </is>
      </c>
    </row>
    <row r="23">
      <c r="B23" s="16" t="inlineStr">
        <is>
          <t>MJF PA12 part</t>
        </is>
      </c>
      <c r="C23" s="6" t="inlineStr">
        <is>
          <t>Form non-load-bearing covers</t>
        </is>
      </c>
      <c r="D23" s="6" t="inlineStr">
        <is>
          <t>Embrittlement after long sun expose</t>
        </is>
      </c>
      <c r="E23" s="6" t="inlineStr">
        <is>
          <t>Sharp edge, dust (HZ-X01)</t>
        </is>
      </c>
      <c r="F23" s="6" t="inlineStr">
        <is>
          <t>UV exposure, age</t>
        </is>
      </c>
      <c r="G23" s="17" t="n">
        <v>4</v>
      </c>
      <c r="H23" s="17" t="n">
        <v>4</v>
      </c>
      <c r="I23" s="17" t="n">
        <v>3</v>
      </c>
      <c r="J23" s="12" t="inlineStr">
        <is>
          <t>L</t>
        </is>
      </c>
      <c r="K23" s="6" t="inlineStr">
        <is>
          <t>see tab 09</t>
        </is>
      </c>
    </row>
    <row r="24">
      <c r="B24" s="16" t="inlineStr">
        <is>
          <t>Camera 2 MP</t>
        </is>
      </c>
      <c r="C24" s="6" t="inlineStr">
        <is>
          <t>Supply image stream</t>
        </is>
      </c>
      <c r="D24" s="6" t="inlineStr">
        <is>
          <t>Stream stalled</t>
        </is>
      </c>
      <c r="E24" s="6" t="inlineStr">
        <is>
          <t>Loss of situational awareness for tele-op</t>
        </is>
      </c>
      <c r="F24" s="6" t="inlineStr">
        <is>
          <t>MIPI fault, FW</t>
        </is>
      </c>
      <c r="G24" s="17" t="n">
        <v>5</v>
      </c>
      <c r="H24" s="17" t="n">
        <v>4</v>
      </c>
      <c r="I24" s="17" t="n">
        <v>3</v>
      </c>
      <c r="J24" s="12" t="inlineStr">
        <is>
          <t>L</t>
        </is>
      </c>
      <c r="K24" s="6" t="inlineStr">
        <is>
          <t>see tab 09</t>
        </is>
      </c>
    </row>
    <row r="25">
      <c r="B25" s="16" t="inlineStr">
        <is>
          <t>Mic array</t>
        </is>
      </c>
      <c r="C25" s="6" t="inlineStr">
        <is>
          <t>Capture audio</t>
        </is>
      </c>
      <c r="D25" s="6" t="inlineStr">
        <is>
          <t>Stuck / DC offset</t>
        </is>
      </c>
      <c r="E25" s="6" t="inlineStr">
        <is>
          <t>Loss of voice commands</t>
        </is>
      </c>
      <c r="F25" s="6" t="inlineStr">
        <is>
          <t>MEMS fault</t>
        </is>
      </c>
      <c r="G25" s="17" t="n">
        <v>3</v>
      </c>
      <c r="H25" s="17" t="n">
        <v>4</v>
      </c>
      <c r="I25" s="17" t="n">
        <v>3</v>
      </c>
      <c r="J25" s="12" t="inlineStr">
        <is>
          <t>L</t>
        </is>
      </c>
      <c r="K25" s="6" t="inlineStr">
        <is>
          <t>see tab 09</t>
        </is>
      </c>
    </row>
    <row r="26">
      <c r="B26" s="16" t="inlineStr">
        <is>
          <t>Speaker 10 W</t>
        </is>
      </c>
      <c r="C26" s="6" t="inlineStr">
        <is>
          <t>Provide audio annunciation</t>
        </is>
      </c>
      <c r="D26" s="6" t="inlineStr">
        <is>
          <t>Volume saturated</t>
        </is>
      </c>
      <c r="E26" s="6" t="inlineStr">
        <is>
          <t>Hearing damage (HZ-N01)</t>
        </is>
      </c>
      <c r="F26" s="6" t="inlineStr">
        <is>
          <t>FW limiter missing</t>
        </is>
      </c>
      <c r="G26" s="17" t="n">
        <v>5</v>
      </c>
      <c r="H26" s="17" t="n">
        <v>3</v>
      </c>
      <c r="I26" s="17" t="n">
        <v>4</v>
      </c>
      <c r="J26" s="12" t="inlineStr">
        <is>
          <t>L</t>
        </is>
      </c>
      <c r="K26" s="6" t="inlineStr">
        <is>
          <t>see tab 09</t>
        </is>
      </c>
    </row>
    <row r="27">
      <c r="B27" s="16" t="inlineStr">
        <is>
          <t>Sim model</t>
        </is>
      </c>
      <c r="C27" s="6" t="inlineStr">
        <is>
          <t>Train policy in MuJoCo</t>
        </is>
      </c>
      <c r="D27" s="6" t="inlineStr">
        <is>
          <t>Sim2real gap on friction / inertia</t>
        </is>
      </c>
      <c r="E27" s="6" t="inlineStr">
        <is>
          <t>Policy unsafe on hardware (HZ-P02)</t>
        </is>
      </c>
      <c r="F27" s="6" t="inlineStr">
        <is>
          <t>Domain randomisation insufficient</t>
        </is>
      </c>
      <c r="G27" s="17" t="n">
        <v>8</v>
      </c>
      <c r="H27" s="17" t="n">
        <v>5</v>
      </c>
      <c r="I27" s="17" t="n">
        <v>7</v>
      </c>
      <c r="J27" s="11" t="inlineStr">
        <is>
          <t>H</t>
        </is>
      </c>
      <c r="K27" s="6" t="inlineStr">
        <is>
          <t>see tab 09</t>
        </is>
      </c>
    </row>
    <row r="28">
      <c r="B28" s="16" t="inlineStr">
        <is>
          <t>Locomotion policy</t>
        </is>
      </c>
      <c r="C28" s="6" t="inlineStr">
        <is>
          <t>Maintain balance / walk</t>
        </is>
      </c>
      <c r="D28" s="6" t="inlineStr">
        <is>
          <t>Edge-case divergence</t>
        </is>
      </c>
      <c r="E28" s="6" t="inlineStr">
        <is>
          <t>Hazardous trajectory (HZ-P02)</t>
        </is>
      </c>
      <c r="F28" s="6" t="inlineStr">
        <is>
          <t>OOD scenario</t>
        </is>
      </c>
      <c r="G28" s="17" t="n">
        <v>8</v>
      </c>
      <c r="H28" s="17" t="n">
        <v>4</v>
      </c>
      <c r="I28" s="17" t="n">
        <v>7</v>
      </c>
      <c r="J28" s="10" t="inlineStr">
        <is>
          <t>M</t>
        </is>
      </c>
      <c r="K28" s="6" t="inlineStr">
        <is>
          <t>see tab 09</t>
        </is>
      </c>
    </row>
    <row r="29">
      <c r="B29" s="16" t="inlineStr">
        <is>
          <t>Asimov API</t>
        </is>
      </c>
      <c r="C29" s="6" t="inlineStr">
        <is>
          <t>Expose tele-op + telemetry</t>
        </is>
      </c>
      <c r="D29" s="6" t="inlineStr">
        <is>
          <t>API contract change unannounced</t>
        </is>
      </c>
      <c r="E29" s="6" t="inlineStr">
        <is>
          <t>Unsafe command interpretation</t>
        </is>
      </c>
      <c r="F29" s="6" t="inlineStr">
        <is>
          <t>Versioning, no contract test</t>
        </is>
      </c>
      <c r="G29" s="17" t="n">
        <v>7</v>
      </c>
      <c r="H29" s="17" t="n">
        <v>3</v>
      </c>
      <c r="I29" s="17" t="n">
        <v>6</v>
      </c>
      <c r="J29" s="10" t="inlineStr">
        <is>
          <t>M</t>
        </is>
      </c>
      <c r="K29" s="6" t="inlineStr">
        <is>
          <t>see tab 09</t>
        </is>
      </c>
    </row>
  </sheetData>
  <mergeCells count="2">
    <mergeCell ref="B2:L2"/>
    <mergeCell ref="B3:L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H2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36" customWidth="1" min="3" max="3"/>
    <col width="12" customWidth="1" min="4" max="4"/>
    <col width="8" customWidth="1" min="5" max="5"/>
    <col width="10" customWidth="1" min="6" max="6"/>
    <col width="28" customWidth="1" min="7" max="7"/>
    <col width="22" customWidth="1" min="8" max="8"/>
  </cols>
  <sheetData>
    <row r="2">
      <c r="B2" s="4" t="inlineStr">
        <is>
          <t>Functional Safety Concept — Safety Functions, PL targets, allocation</t>
        </is>
      </c>
    </row>
    <row r="4">
      <c r="A4" s="15" t="inlineStr"/>
      <c r="B4" s="15" t="inlineStr">
        <is>
          <t>SF ID</t>
        </is>
      </c>
      <c r="C4" s="15" t="inlineStr">
        <is>
          <t>Safety function</t>
        </is>
      </c>
      <c r="D4" s="15" t="inlineStr">
        <is>
          <t>PLr (target)</t>
        </is>
      </c>
      <c r="E4" s="15" t="inlineStr">
        <is>
          <t>Cat</t>
        </is>
      </c>
      <c r="F4" s="15" t="inlineStr">
        <is>
          <t>Reaction time</t>
        </is>
      </c>
      <c r="G4" s="15" t="inlineStr">
        <is>
          <t>Allocation</t>
        </is>
      </c>
      <c r="H4" s="15" t="inlineStr">
        <is>
          <t>Linked hazards</t>
        </is>
      </c>
    </row>
    <row r="5">
      <c r="B5" s="16" t="inlineStr">
        <is>
          <t>SF-01</t>
        </is>
      </c>
      <c r="C5" s="6" t="inlineStr">
        <is>
          <t>Maintain bipedal stability while standing/moving</t>
        </is>
      </c>
      <c r="D5" s="11" t="inlineStr">
        <is>
          <t>d</t>
        </is>
      </c>
      <c r="E5" s="17" t="inlineStr">
        <is>
          <t>3</t>
        </is>
      </c>
      <c r="F5" s="17" t="inlineStr">
        <is>
          <t>≤ 20 ms</t>
        </is>
      </c>
      <c r="G5" s="6" t="inlineStr">
        <is>
          <t>Loco. policy + IMU + MCB</t>
        </is>
      </c>
      <c r="H5" s="6" t="inlineStr">
        <is>
          <t>HZ-M01,HZ-M07,HZ-P02</t>
        </is>
      </c>
    </row>
    <row r="6">
      <c r="B6" s="16" t="inlineStr">
        <is>
          <t>SF-02</t>
        </is>
      </c>
      <c r="C6" s="6" t="inlineStr">
        <is>
          <t>Detect &amp; arrest impending fall before impact (controlled descent)</t>
        </is>
      </c>
      <c r="D6" s="11" t="inlineStr">
        <is>
          <t>d</t>
        </is>
      </c>
      <c r="E6" s="17" t="inlineStr">
        <is>
          <t>3</t>
        </is>
      </c>
      <c r="F6" s="17" t="inlineStr">
        <is>
          <t>≤ 200 ms</t>
        </is>
      </c>
      <c r="G6" s="6" t="inlineStr">
        <is>
          <t>MCB + IMU + actuators</t>
        </is>
      </c>
      <c r="H6" s="6" t="inlineStr">
        <is>
          <t>HZ-M01,HZ-M07,HZ-P03</t>
        </is>
      </c>
    </row>
    <row r="7">
      <c r="B7" s="16" t="inlineStr">
        <is>
          <t>SF-03</t>
        </is>
      </c>
      <c r="C7" s="6" t="inlineStr">
        <is>
          <t>Joint torque / velocity limit per joint (per ISO/TS 15066)</t>
        </is>
      </c>
      <c r="D7" s="11" t="inlineStr">
        <is>
          <t>d</t>
        </is>
      </c>
      <c r="E7" s="17" t="inlineStr">
        <is>
          <t>3</t>
        </is>
      </c>
      <c r="F7" s="17" t="inlineStr">
        <is>
          <t>≤ 10 ms</t>
        </is>
      </c>
      <c r="G7" s="6" t="inlineStr">
        <is>
          <t>MCB FW + drive limits</t>
        </is>
      </c>
      <c r="H7" s="6" t="inlineStr">
        <is>
          <t>HZ-M02,HZ-P04</t>
        </is>
      </c>
    </row>
    <row r="8">
      <c r="B8" s="16" t="inlineStr">
        <is>
          <t>SF-04</t>
        </is>
      </c>
      <c r="C8" s="6" t="inlineStr">
        <is>
          <t>Force-limited contact in collaborative regions</t>
        </is>
      </c>
      <c r="D8" s="11" t="inlineStr">
        <is>
          <t>d</t>
        </is>
      </c>
      <c r="E8" s="17" t="inlineStr">
        <is>
          <t>3</t>
        </is>
      </c>
      <c r="F8" s="17" t="inlineStr">
        <is>
          <t>≤ 100 ms</t>
        </is>
      </c>
      <c r="G8" s="6" t="inlineStr">
        <is>
          <t>MCB FW + sensorised links</t>
        </is>
      </c>
      <c r="H8" s="6" t="inlineStr">
        <is>
          <t>HZ-M02,HZ-M04,HZ-P04</t>
        </is>
      </c>
    </row>
    <row r="9">
      <c r="B9" s="16" t="inlineStr">
        <is>
          <t>SF-05</t>
        </is>
      </c>
      <c r="C9" s="6" t="inlineStr">
        <is>
          <t>Fastener torque &amp; secure-by-design — sharp edges chamfered</t>
        </is>
      </c>
      <c r="D9" s="12" t="inlineStr">
        <is>
          <t>—</t>
        </is>
      </c>
      <c r="E9" s="17" t="inlineStr">
        <is>
          <t>—</t>
        </is>
      </c>
      <c r="F9" s="17" t="inlineStr">
        <is>
          <t>Static</t>
        </is>
      </c>
      <c r="G9" s="6" t="inlineStr">
        <is>
          <t>Mechanical design</t>
        </is>
      </c>
      <c r="H9" s="6" t="inlineStr">
        <is>
          <t>HZ-M03</t>
        </is>
      </c>
    </row>
    <row r="10">
      <c r="B10" s="16" t="inlineStr">
        <is>
          <t>SF-06</t>
        </is>
      </c>
      <c r="C10" s="6" t="inlineStr">
        <is>
          <t>Speed reduction in human-shared regions (perception trigger)</t>
        </is>
      </c>
      <c r="D10" s="10" t="inlineStr">
        <is>
          <t>c</t>
        </is>
      </c>
      <c r="E10" s="17" t="inlineStr">
        <is>
          <t>2</t>
        </is>
      </c>
      <c r="F10" s="17" t="inlineStr">
        <is>
          <t>≤ 200 ms</t>
        </is>
      </c>
      <c r="G10" s="6" t="inlineStr">
        <is>
          <t>RPi5 perception → MCB</t>
        </is>
      </c>
      <c r="H10" s="6" t="inlineStr">
        <is>
          <t>HZ-M04</t>
        </is>
      </c>
    </row>
    <row r="11">
      <c r="B11" s="16" t="inlineStr">
        <is>
          <t>SF-07</t>
        </is>
      </c>
      <c r="C11" s="6" t="inlineStr">
        <is>
          <t>Guarding / cover at waist yaw + neck yaw rotational interface</t>
        </is>
      </c>
      <c r="D11" s="12" t="inlineStr">
        <is>
          <t>—</t>
        </is>
      </c>
      <c r="E11" s="17" t="inlineStr">
        <is>
          <t>—</t>
        </is>
      </c>
      <c r="F11" s="17" t="inlineStr">
        <is>
          <t>Static</t>
        </is>
      </c>
      <c r="G11" s="6" t="inlineStr">
        <is>
          <t>Mechanical guarding</t>
        </is>
      </c>
      <c r="H11" s="6" t="inlineStr">
        <is>
          <t>HZ-M05</t>
        </is>
      </c>
    </row>
    <row r="12">
      <c r="B12" s="16" t="inlineStr">
        <is>
          <t>SF-08</t>
        </is>
      </c>
      <c r="C12" s="6" t="inlineStr">
        <is>
          <t>Safe-stop on watchdog timeout / comms loss (Cat 1 stop)</t>
        </is>
      </c>
      <c r="D12" s="11" t="inlineStr">
        <is>
          <t>d</t>
        </is>
      </c>
      <c r="E12" s="17" t="inlineStr">
        <is>
          <t>3</t>
        </is>
      </c>
      <c r="F12" s="17" t="inlineStr">
        <is>
          <t>≤ 100 ms</t>
        </is>
      </c>
      <c r="G12" s="6" t="inlineStr">
        <is>
          <t>MCB watchdog</t>
        </is>
      </c>
      <c r="H12" s="6" t="inlineStr">
        <is>
          <t>HZ-M07,HZ-C01,HZ-P02,HZ-P03,HZ-P06</t>
        </is>
      </c>
    </row>
    <row r="13">
      <c r="B13" s="16" t="inlineStr">
        <is>
          <t>SF-09</t>
        </is>
      </c>
      <c r="C13" s="6" t="inlineStr">
        <is>
          <t>Cable management &amp; visible robot tether route</t>
        </is>
      </c>
      <c r="D13" s="12" t="inlineStr">
        <is>
          <t>—</t>
        </is>
      </c>
      <c r="E13" s="17" t="inlineStr">
        <is>
          <t>—</t>
        </is>
      </c>
      <c r="F13" s="17" t="inlineStr">
        <is>
          <t>Static</t>
        </is>
      </c>
      <c r="G13" s="6" t="inlineStr">
        <is>
          <t>Procedure + harness clip</t>
        </is>
      </c>
      <c r="H13" s="6" t="inlineStr">
        <is>
          <t>HZ-M08</t>
        </is>
      </c>
    </row>
    <row r="14">
      <c r="B14" s="16" t="inlineStr">
        <is>
          <t>SF-10</t>
        </is>
      </c>
      <c r="C14" s="6" t="inlineStr">
        <is>
          <t>Power isolation (lockable disconnector) + insulation Class</t>
        </is>
      </c>
      <c r="D14" s="12" t="inlineStr">
        <is>
          <t>—</t>
        </is>
      </c>
      <c r="E14" s="17" t="inlineStr">
        <is>
          <t>—</t>
        </is>
      </c>
      <c r="F14" s="17" t="inlineStr">
        <is>
          <t>Static</t>
        </is>
      </c>
      <c r="G14" s="6" t="inlineStr">
        <is>
          <t>PDB + connector design</t>
        </is>
      </c>
      <c r="H14" s="6" t="inlineStr">
        <is>
          <t>HZ-E01,HZ-E02</t>
        </is>
      </c>
    </row>
    <row r="15">
      <c r="B15" s="16" t="inlineStr">
        <is>
          <t>SF-11</t>
        </is>
      </c>
      <c r="C15" s="6" t="inlineStr">
        <is>
          <t>Overcurrent protection on each motor branch</t>
        </is>
      </c>
      <c r="D15" s="10" t="inlineStr">
        <is>
          <t>c</t>
        </is>
      </c>
      <c r="E15" s="17" t="inlineStr">
        <is>
          <t>2</t>
        </is>
      </c>
      <c r="F15" s="17" t="inlineStr">
        <is>
          <t>≤ 50 ms</t>
        </is>
      </c>
      <c r="G15" s="6" t="inlineStr">
        <is>
          <t>PDB fuse + MCB current sense</t>
        </is>
      </c>
      <c r="H15" s="6" t="inlineStr">
        <is>
          <t>HZ-E02</t>
        </is>
      </c>
    </row>
    <row r="16">
      <c r="B16" s="16" t="inlineStr">
        <is>
          <t>SF-12</t>
        </is>
      </c>
      <c r="C16" s="6" t="inlineStr">
        <is>
          <t>ESD-safe assembly process (procedure)</t>
        </is>
      </c>
      <c r="D16" s="12" t="inlineStr">
        <is>
          <t>—</t>
        </is>
      </c>
      <c r="E16" s="17" t="inlineStr">
        <is>
          <t>—</t>
        </is>
      </c>
      <c r="F16" s="17" t="inlineStr">
        <is>
          <t>Static</t>
        </is>
      </c>
      <c r="G16" s="6" t="inlineStr">
        <is>
          <t>ISO 9001 process</t>
        </is>
      </c>
      <c r="H16" s="6" t="inlineStr">
        <is>
          <t>HZ-E03</t>
        </is>
      </c>
    </row>
    <row r="17">
      <c r="B17" s="16" t="inlineStr">
        <is>
          <t>SF-13</t>
        </is>
      </c>
      <c r="C17" s="6" t="inlineStr">
        <is>
          <t>Wireless E-Stop link surveillance + heartbeat</t>
        </is>
      </c>
      <c r="D17" s="11" t="inlineStr">
        <is>
          <t>d</t>
        </is>
      </c>
      <c r="E17" s="17" t="inlineStr">
        <is>
          <t>3</t>
        </is>
      </c>
      <c r="F17" s="17" t="inlineStr">
        <is>
          <t>≤ 500 ms</t>
        </is>
      </c>
      <c r="G17" s="6" t="inlineStr">
        <is>
          <t>E-Stop receiver</t>
        </is>
      </c>
      <c r="H17" s="6" t="inlineStr">
        <is>
          <t>HZ-E04,HZ-C01</t>
        </is>
      </c>
    </row>
    <row r="18">
      <c r="B18" s="16" t="inlineStr">
        <is>
          <t>SF-14</t>
        </is>
      </c>
      <c r="C18" s="6" t="inlineStr">
        <is>
          <t>Stator over-temperature shutdown</t>
        </is>
      </c>
      <c r="D18" s="10" t="inlineStr">
        <is>
          <t>c</t>
        </is>
      </c>
      <c r="E18" s="17" t="inlineStr">
        <is>
          <t>2</t>
        </is>
      </c>
      <c r="F18" s="17" t="inlineStr">
        <is>
          <t>≤ 200 ms</t>
        </is>
      </c>
      <c r="G18" s="6" t="inlineStr">
        <is>
          <t>Thermistor + MCB</t>
        </is>
      </c>
      <c r="H18" s="6" t="inlineStr">
        <is>
          <t>HZ-T01</t>
        </is>
      </c>
    </row>
    <row r="19">
      <c r="B19" s="16" t="inlineStr">
        <is>
          <t>SF-15</t>
        </is>
      </c>
      <c r="C19" s="6" t="inlineStr">
        <is>
          <t>Battery thermal &amp; cell-voltage protection (BMS)</t>
        </is>
      </c>
      <c r="D19" s="11" t="inlineStr">
        <is>
          <t>e</t>
        </is>
      </c>
      <c r="E19" s="17" t="inlineStr">
        <is>
          <t>4</t>
        </is>
      </c>
      <c r="F19" s="17" t="inlineStr">
        <is>
          <t>≤ 1 s</t>
        </is>
      </c>
      <c r="G19" s="6" t="inlineStr">
        <is>
          <t>BMS (user-supplied)</t>
        </is>
      </c>
      <c r="H19" s="6" t="inlineStr">
        <is>
          <t>HZ-T02,HZ-P03</t>
        </is>
      </c>
    </row>
    <row r="20">
      <c r="B20" s="16" t="inlineStr">
        <is>
          <t>SF-16</t>
        </is>
      </c>
      <c r="C20" s="6" t="inlineStr">
        <is>
          <t>Audio limiter (≤ 80 dBA at 1 m)</t>
        </is>
      </c>
      <c r="D20" s="12" t="inlineStr">
        <is>
          <t>b</t>
        </is>
      </c>
      <c r="E20" s="17" t="inlineStr">
        <is>
          <t>1</t>
        </is>
      </c>
      <c r="F20" s="17" t="inlineStr">
        <is>
          <t>Static</t>
        </is>
      </c>
      <c r="G20" s="6" t="inlineStr">
        <is>
          <t>MCB FW</t>
        </is>
      </c>
      <c r="H20" s="6" t="inlineStr">
        <is>
          <t>HZ-N01</t>
        </is>
      </c>
    </row>
    <row r="21">
      <c r="B21" s="16" t="inlineStr">
        <is>
          <t>SF-17</t>
        </is>
      </c>
      <c r="C21" s="6" t="inlineStr">
        <is>
          <t>Respiratory PPE during MJF dust generation</t>
        </is>
      </c>
      <c r="D21" s="12" t="inlineStr">
        <is>
          <t>—</t>
        </is>
      </c>
      <c r="E21" s="17" t="inlineStr">
        <is>
          <t>—</t>
        </is>
      </c>
      <c r="F21" s="17" t="inlineStr">
        <is>
          <t>Procedure</t>
        </is>
      </c>
      <c r="G21" s="6" t="inlineStr">
        <is>
          <t>ISO 12100 §6.5.3 (info)</t>
        </is>
      </c>
      <c r="H21" s="6" t="inlineStr">
        <is>
          <t>HZ-X01</t>
        </is>
      </c>
    </row>
    <row r="22">
      <c r="B22" s="16" t="inlineStr">
        <is>
          <t>SF-18</t>
        </is>
      </c>
      <c r="C22" s="6" t="inlineStr">
        <is>
          <t>2-person lift procedure for 35 kg robot</t>
        </is>
      </c>
      <c r="D22" s="12" t="inlineStr">
        <is>
          <t>—</t>
        </is>
      </c>
      <c r="E22" s="17" t="inlineStr">
        <is>
          <t>—</t>
        </is>
      </c>
      <c r="F22" s="17" t="inlineStr">
        <is>
          <t>Procedure</t>
        </is>
      </c>
      <c r="G22" s="6" t="inlineStr">
        <is>
          <t>ISO 12100 §6.5.3 (info)</t>
        </is>
      </c>
      <c r="H22" s="6" t="inlineStr">
        <is>
          <t>HZ-G01</t>
        </is>
      </c>
    </row>
    <row r="23">
      <c r="B23" s="16" t="inlineStr">
        <is>
          <t>SF-19</t>
        </is>
      </c>
      <c r="C23" s="6" t="inlineStr">
        <is>
          <t>Indoor-only operating envelope until IP-rated build</t>
        </is>
      </c>
      <c r="D23" s="12" t="inlineStr">
        <is>
          <t>—</t>
        </is>
      </c>
      <c r="E23" s="17" t="inlineStr">
        <is>
          <t>—</t>
        </is>
      </c>
      <c r="F23" s="17" t="inlineStr">
        <is>
          <t>Static</t>
        </is>
      </c>
      <c r="G23" s="6" t="inlineStr">
        <is>
          <t>Operating restriction</t>
        </is>
      </c>
      <c r="H23" s="6" t="inlineStr">
        <is>
          <t>HZ-V03</t>
        </is>
      </c>
    </row>
    <row r="24">
      <c r="B24" s="16" t="inlineStr">
        <is>
          <t>SF-20</t>
        </is>
      </c>
      <c r="C24" s="6" t="inlineStr">
        <is>
          <t>Power-and-Force Limiting per ISO/TS 15066 in cobot mode</t>
        </is>
      </c>
      <c r="D24" s="11" t="inlineStr">
        <is>
          <t>d</t>
        </is>
      </c>
      <c r="E24" s="17" t="inlineStr">
        <is>
          <t>3</t>
        </is>
      </c>
      <c r="F24" s="17" t="inlineStr">
        <is>
          <t>≤ 100 ms</t>
        </is>
      </c>
      <c r="G24" s="6" t="inlineStr">
        <is>
          <t>MCB FW + design</t>
        </is>
      </c>
      <c r="H24" s="6" t="inlineStr">
        <is>
          <t>HZ-P04</t>
        </is>
      </c>
    </row>
    <row r="25">
      <c r="B25" s="16" t="inlineStr">
        <is>
          <t>SF-21</t>
        </is>
      </c>
      <c r="C25" s="6" t="inlineStr">
        <is>
          <t>Authenticated, integrity-protected tele-op channel (TLS+token)</t>
        </is>
      </c>
      <c r="D25" s="10" t="inlineStr">
        <is>
          <t>c</t>
        </is>
      </c>
      <c r="E25" s="17" t="inlineStr">
        <is>
          <t>2</t>
        </is>
      </c>
      <c r="F25" s="17" t="inlineStr">
        <is>
          <t>≤ 100 ms</t>
        </is>
      </c>
      <c r="G25" s="6" t="inlineStr">
        <is>
          <t>RPi5 + WebRTC</t>
        </is>
      </c>
      <c r="H25" s="6" t="inlineStr">
        <is>
          <t>HZ-C02</t>
        </is>
      </c>
    </row>
    <row r="26">
      <c r="B26" s="16" t="inlineStr">
        <is>
          <t>SF-22</t>
        </is>
      </c>
      <c r="C26" s="6" t="inlineStr">
        <is>
          <t>Operator session lock &amp; idle-timeout</t>
        </is>
      </c>
      <c r="D26" s="12" t="inlineStr">
        <is>
          <t>b</t>
        </is>
      </c>
      <c r="E26" s="17" t="inlineStr">
        <is>
          <t>1</t>
        </is>
      </c>
      <c r="F26" s="17" t="inlineStr">
        <is>
          <t>≤ 30 s</t>
        </is>
      </c>
      <c r="G26" s="6" t="inlineStr">
        <is>
          <t>RPi5 / Asimov API</t>
        </is>
      </c>
      <c r="H26" s="6" t="inlineStr">
        <is>
          <t>HZ-C02</t>
        </is>
      </c>
    </row>
    <row r="27">
      <c r="B27" s="16" t="inlineStr">
        <is>
          <t>SF-23</t>
        </is>
      </c>
      <c r="C27" s="6" t="inlineStr">
        <is>
          <t>IMU plausibility &amp; cross-check (rate vs accel, freshness)</t>
        </is>
      </c>
      <c r="D27" s="11" t="inlineStr">
        <is>
          <t>d</t>
        </is>
      </c>
      <c r="E27" s="17" t="inlineStr">
        <is>
          <t>3</t>
        </is>
      </c>
      <c r="F27" s="17" t="inlineStr">
        <is>
          <t>≤ 50 ms</t>
        </is>
      </c>
      <c r="G27" s="6" t="inlineStr">
        <is>
          <t>MCB FW</t>
        </is>
      </c>
      <c r="H27" s="6" t="inlineStr">
        <is>
          <t>HZ-C03</t>
        </is>
      </c>
    </row>
    <row r="28">
      <c r="B28" s="16" t="inlineStr">
        <is>
          <t>SF-24</t>
        </is>
      </c>
      <c r="C28" s="6" t="inlineStr">
        <is>
          <t>Real-time scheduler watchdog &amp; deadline monitor</t>
        </is>
      </c>
      <c r="D28" s="11" t="inlineStr">
        <is>
          <t>d</t>
        </is>
      </c>
      <c r="E28" s="17" t="inlineStr">
        <is>
          <t>3</t>
        </is>
      </c>
      <c r="F28" s="17" t="inlineStr">
        <is>
          <t>≤ 50 ms</t>
        </is>
      </c>
      <c r="G28" s="6" t="inlineStr">
        <is>
          <t>MCB FW</t>
        </is>
      </c>
      <c r="H28" s="6" t="inlineStr">
        <is>
          <t>HZ-C04</t>
        </is>
      </c>
    </row>
    <row r="29">
      <c r="B29" s="16" t="inlineStr">
        <is>
          <t>SF-25</t>
        </is>
      </c>
      <c r="C29" s="6" t="inlineStr">
        <is>
          <t>Software joint limits + mechanical end-stops</t>
        </is>
      </c>
      <c r="D29" s="10" t="inlineStr">
        <is>
          <t>c</t>
        </is>
      </c>
      <c r="E29" s="17" t="inlineStr">
        <is>
          <t>2</t>
        </is>
      </c>
      <c r="F29" s="17" t="inlineStr">
        <is>
          <t>Static</t>
        </is>
      </c>
      <c r="G29" s="6" t="inlineStr">
        <is>
          <t>FW + design</t>
        </is>
      </c>
      <c r="H29" s="6" t="inlineStr">
        <is>
          <t>HZ-C05</t>
        </is>
      </c>
    </row>
  </sheetData>
  <mergeCells count="1">
    <mergeCell ref="B2:H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E3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8" customWidth="1" min="3" max="3"/>
    <col width="60" customWidth="1" min="4" max="4"/>
    <col width="22" customWidth="1" min="5" max="5"/>
  </cols>
  <sheetData>
    <row r="2">
      <c r="B2" s="4" t="inlineStr">
        <is>
          <t>Goal Structuring Notation (GSN) Safety Argument</t>
        </is>
      </c>
    </row>
    <row r="4">
      <c r="A4" s="15" t="inlineStr"/>
      <c r="B4" s="15" t="inlineStr">
        <is>
          <t>Node ID</t>
        </is>
      </c>
      <c r="C4" s="15" t="inlineStr">
        <is>
          <t>Node type</t>
        </is>
      </c>
      <c r="D4" s="15" t="inlineStr">
        <is>
          <t>Statement</t>
        </is>
      </c>
      <c r="E4" s="15" t="inlineStr">
        <is>
          <t>Linked evidence / gaps</t>
        </is>
      </c>
    </row>
    <row r="5">
      <c r="B5" s="16" t="inlineStr">
        <is>
          <t>G1</t>
        </is>
      </c>
      <c r="C5" s="25" t="inlineStr">
        <is>
          <t>Goal</t>
        </is>
      </c>
      <c r="D5" s="6" t="inlineStr">
        <is>
          <t>Asimov v1 is acceptably safe within the declared operational envelope (OE-1 lab supervised) and all reasonably foreseeable misuse is mitigated.</t>
        </is>
      </c>
      <c r="E5" s="6" t="inlineStr">
        <is>
          <t>See sub-goals</t>
        </is>
      </c>
    </row>
    <row r="6">
      <c r="B6" s="16" t="inlineStr">
        <is>
          <t>C1</t>
        </is>
      </c>
      <c r="C6" s="25" t="inlineStr">
        <is>
          <t>Context</t>
        </is>
      </c>
      <c r="D6" s="6" t="inlineStr">
        <is>
          <t>Item per tab 03_ItemDef. Excluded: medical-device use, child-care, load-bearing person carrier, outdoor public-space autonomy.</t>
        </is>
      </c>
      <c r="E6" s="6" t="inlineStr">
        <is>
          <t>EV-IDEF-01</t>
        </is>
      </c>
    </row>
    <row r="7">
      <c r="B7" s="16" t="inlineStr">
        <is>
          <t>A1</t>
        </is>
      </c>
      <c r="C7" s="25" t="inlineStr">
        <is>
          <t>Assumption</t>
        </is>
      </c>
      <c r="D7" s="6" t="inlineStr">
        <is>
          <t>Assumptions A-01..A-07 hold (operator, battery, materials, harness, environment).</t>
        </is>
      </c>
      <c r="E7" s="6" t="inlineStr">
        <is>
          <t>ASS-A-01..07</t>
        </is>
      </c>
    </row>
    <row r="8">
      <c r="B8" s="16" t="inlineStr">
        <is>
          <t>J1</t>
        </is>
      </c>
      <c r="C8" s="25" t="inlineStr">
        <is>
          <t>Justification</t>
        </is>
      </c>
      <c r="D8" s="6" t="inlineStr">
        <is>
          <t>Risk graph per ISO 13849-1 Annex A is appropriate for a non-mass-produced multi-purpose machine.</t>
        </is>
      </c>
      <c r="E8" s="6" t="inlineStr">
        <is>
          <t>Standard text</t>
        </is>
      </c>
    </row>
    <row r="9">
      <c r="B9" s="16" t="inlineStr">
        <is>
          <t>S1</t>
        </is>
      </c>
      <c r="C9" s="26" t="inlineStr">
        <is>
          <t>Strategy</t>
        </is>
      </c>
      <c r="D9" s="6" t="inlineStr">
        <is>
          <t>Argument over: (a) hazard identification completeness, (b) risk reduction by 3-step method (ISO 12100 §6.5), (c) safety-function integrity (ISO 13849-1), (d) standards conformance (12100/10218/13849/13482/9001).</t>
        </is>
      </c>
      <c r="E9" s="6" t="inlineStr"/>
    </row>
    <row r="10">
      <c r="B10" s="16" t="inlineStr">
        <is>
          <t>G2</t>
        </is>
      </c>
      <c r="C10" s="25" t="inlineStr">
        <is>
          <t>Goal</t>
        </is>
      </c>
      <c r="D10" s="6" t="inlineStr">
        <is>
          <t>All foreseeable hazards have been identified and catalogued.</t>
        </is>
      </c>
      <c r="E10" s="6" t="inlineStr">
        <is>
          <t>tab 06</t>
        </is>
      </c>
    </row>
    <row r="11">
      <c r="B11" s="16" t="inlineStr">
        <is>
          <t>Sn1</t>
        </is>
      </c>
      <c r="C11" s="27" t="inlineStr">
        <is>
          <t>Solution</t>
        </is>
      </c>
      <c r="D11" s="6" t="inlineStr">
        <is>
          <t>ISO 12100 Annex B + ISO 13482 Annex A traversed; 32 hazards catalogued.</t>
        </is>
      </c>
      <c r="E11" s="6" t="inlineStr">
        <is>
          <t>EV-HZ-01,EV-HZ-02</t>
        </is>
      </c>
    </row>
    <row r="12">
      <c r="B12" s="16" t="inlineStr">
        <is>
          <t>G3</t>
        </is>
      </c>
      <c r="C12" s="25" t="inlineStr">
        <is>
          <t>Goal</t>
        </is>
      </c>
      <c r="D12" s="6" t="inlineStr">
        <is>
          <t>Risk for every hazard reduced to acceptable per ISO 12100 §6.4.</t>
        </is>
      </c>
      <c r="E12" s="6" t="inlineStr">
        <is>
          <t>tab 07</t>
        </is>
      </c>
    </row>
    <row r="13">
      <c r="B13" s="16" t="inlineStr">
        <is>
          <t>S3</t>
        </is>
      </c>
      <c r="C13" s="26" t="inlineStr">
        <is>
          <t>Strategy</t>
        </is>
      </c>
      <c r="D13" s="6" t="inlineStr">
        <is>
          <t>For each hazard, apply 3-step risk reduction: inherent design → safeguard → information for use.</t>
        </is>
      </c>
      <c r="E13" s="6" t="inlineStr"/>
    </row>
    <row r="14">
      <c r="B14" s="16" t="inlineStr">
        <is>
          <t>G3.1</t>
        </is>
      </c>
      <c r="C14" s="25" t="inlineStr">
        <is>
          <t>Goal</t>
        </is>
      </c>
      <c r="D14" s="6" t="inlineStr">
        <is>
          <t>Inherent design eliminates hazards where practicable (mass, edges, materials, joint travel).</t>
        </is>
      </c>
      <c r="E14" s="6" t="inlineStr">
        <is>
          <t>SF-05,SF-07</t>
        </is>
      </c>
    </row>
    <row r="15">
      <c r="B15" s="16" t="inlineStr">
        <is>
          <t>G3.2</t>
        </is>
      </c>
      <c r="C15" s="25" t="inlineStr">
        <is>
          <t>Goal</t>
        </is>
      </c>
      <c r="D15" s="6" t="inlineStr">
        <is>
          <t>Safeguarding controls residual hazards via 25 declared safety functions.</t>
        </is>
      </c>
      <c r="E15" s="6" t="inlineStr">
        <is>
          <t>tab 09</t>
        </is>
      </c>
    </row>
    <row r="16">
      <c r="B16" s="16" t="inlineStr">
        <is>
          <t>G3.3</t>
        </is>
      </c>
      <c r="C16" s="25" t="inlineStr">
        <is>
          <t>Goal</t>
        </is>
      </c>
      <c r="D16" s="6" t="inlineStr">
        <is>
          <t>Residual risk communicated via warnings, manuals, training.</t>
        </is>
      </c>
      <c r="E16" s="6" t="inlineStr">
        <is>
          <t>GAP-12100-02</t>
        </is>
      </c>
    </row>
    <row r="17">
      <c r="B17" s="16" t="inlineStr">
        <is>
          <t>G4</t>
        </is>
      </c>
      <c r="C17" s="25" t="inlineStr">
        <is>
          <t>Goal</t>
        </is>
      </c>
      <c r="D17" s="6" t="inlineStr">
        <is>
          <t>Each safety function meets its required PL.</t>
        </is>
      </c>
      <c r="E17" s="6" t="inlineStr">
        <is>
          <t>tab 09</t>
        </is>
      </c>
    </row>
    <row r="18">
      <c r="B18" s="16" t="inlineStr">
        <is>
          <t>S4</t>
        </is>
      </c>
      <c r="C18" s="26" t="inlineStr">
        <is>
          <t>Strategy</t>
        </is>
      </c>
      <c r="D18" s="6" t="inlineStr">
        <is>
          <t>PL achieved = function of architecture (Cat) × MTTFD × DC × CCF per ISO 13849-1 §4.5.4.</t>
        </is>
      </c>
      <c r="E18" s="6" t="inlineStr"/>
    </row>
    <row r="19">
      <c r="B19" s="16" t="inlineStr">
        <is>
          <t>G4.1</t>
        </is>
      </c>
      <c r="C19" s="25" t="inlineStr">
        <is>
          <t>Goal</t>
        </is>
      </c>
      <c r="D19" s="6" t="inlineStr">
        <is>
          <t>Category appropriate to PLr is selected.</t>
        </is>
      </c>
      <c r="E19" s="6" t="inlineStr">
        <is>
          <t>tab 09 col Cat</t>
        </is>
      </c>
    </row>
    <row r="20">
      <c r="B20" s="16" t="inlineStr">
        <is>
          <t>G4.2</t>
        </is>
      </c>
      <c r="C20" s="25" t="inlineStr">
        <is>
          <t>Goal</t>
        </is>
      </c>
      <c r="D20" s="6" t="inlineStr">
        <is>
          <t>MTTFD adequate per channel.</t>
        </is>
      </c>
      <c r="E20" s="6" t="inlineStr">
        <is>
          <t>GAP-13849-02</t>
        </is>
      </c>
    </row>
    <row r="21">
      <c r="B21" s="16" t="inlineStr">
        <is>
          <t>G4.3</t>
        </is>
      </c>
      <c r="C21" s="25" t="inlineStr">
        <is>
          <t>Goal</t>
        </is>
      </c>
      <c r="D21" s="6" t="inlineStr">
        <is>
          <t>DC adequate per channel.</t>
        </is>
      </c>
      <c r="E21" s="6" t="inlineStr">
        <is>
          <t>GAP-13849-02</t>
        </is>
      </c>
    </row>
    <row r="22">
      <c r="B22" s="16" t="inlineStr">
        <is>
          <t>G4.4</t>
        </is>
      </c>
      <c r="C22" s="25" t="inlineStr">
        <is>
          <t>Goal</t>
        </is>
      </c>
      <c r="D22" s="6" t="inlineStr">
        <is>
          <t>CCF score ≥ 65 per Annex F.</t>
        </is>
      </c>
      <c r="E22" s="6" t="inlineStr">
        <is>
          <t>GAP-13849-02</t>
        </is>
      </c>
    </row>
    <row r="23">
      <c r="B23" s="16" t="inlineStr">
        <is>
          <t>G4.5</t>
        </is>
      </c>
      <c r="C23" s="25" t="inlineStr">
        <is>
          <t>Goal</t>
        </is>
      </c>
      <c r="D23" s="6" t="inlineStr">
        <is>
          <t>Validation per ISO 13849-2 (analysis + testing).</t>
        </is>
      </c>
      <c r="E23" s="6" t="inlineStr">
        <is>
          <t>GAP-13849-03</t>
        </is>
      </c>
    </row>
    <row r="24">
      <c r="B24" s="16" t="inlineStr">
        <is>
          <t>G5</t>
        </is>
      </c>
      <c r="C24" s="25" t="inlineStr">
        <is>
          <t>Goal</t>
        </is>
      </c>
      <c r="D24" s="6" t="inlineStr">
        <is>
          <t>Standards conformance demonstrated for 12100 / 10218 / 13849 / 13482 / 9001.</t>
        </is>
      </c>
      <c r="E24" s="6" t="inlineStr">
        <is>
          <t>tab 04</t>
        </is>
      </c>
    </row>
    <row r="25">
      <c r="B25" s="16" t="inlineStr">
        <is>
          <t>Sn5</t>
        </is>
      </c>
      <c r="C25" s="27" t="inlineStr">
        <is>
          <t>Solution</t>
        </is>
      </c>
      <c r="D25" s="6" t="inlineStr">
        <is>
          <t>Standards Compliance Matrix: 6 met (concept), 9 partial, 16 not met.</t>
        </is>
      </c>
      <c r="E25" s="6" t="inlineStr">
        <is>
          <t>tab 04</t>
        </is>
      </c>
    </row>
    <row r="26">
      <c r="B26" s="16" t="inlineStr">
        <is>
          <t>G6</t>
        </is>
      </c>
      <c r="C26" s="25" t="inlineStr">
        <is>
          <t>Goal</t>
        </is>
      </c>
      <c r="D26" s="6" t="inlineStr">
        <is>
          <t>Quality management — design, manufacture, document control, NCR, CAR — meets ISO 9001.</t>
        </is>
      </c>
      <c r="E26" s="6" t="inlineStr">
        <is>
          <t>tab 04 GAP-9001-*</t>
        </is>
      </c>
    </row>
    <row r="27">
      <c r="B27" s="16" t="inlineStr">
        <is>
          <t>Sn6</t>
        </is>
      </c>
      <c r="C27" s="27" t="inlineStr">
        <is>
          <t>Solution</t>
        </is>
      </c>
      <c r="D27" s="6" t="inlineStr">
        <is>
          <t>Git revision control acceptable for documents; design review records, NCR system not in place.</t>
        </is>
      </c>
      <c r="E27" s="6" t="inlineStr">
        <is>
          <t>GAP-9001-01..06</t>
        </is>
      </c>
    </row>
    <row r="28">
      <c r="B28" s="16" t="inlineStr">
        <is>
          <t>G7</t>
        </is>
      </c>
      <c r="C28" s="25" t="inlineStr">
        <is>
          <t>Goal</t>
        </is>
      </c>
      <c r="D28" s="6" t="inlineStr">
        <is>
          <t>Personal-care robot specifics (ISO 13482) are addressed before deployment to OE-3/OE-4.</t>
        </is>
      </c>
      <c r="E28" s="6" t="inlineStr">
        <is>
          <t>tab 04</t>
        </is>
      </c>
    </row>
    <row r="29">
      <c r="B29" s="16" t="inlineStr">
        <is>
          <t>Sn7</t>
        </is>
      </c>
      <c r="C29" s="27" t="inlineStr">
        <is>
          <t>Solution</t>
        </is>
      </c>
      <c r="D29" s="6" t="inlineStr">
        <is>
          <t>Significant gaps remain — see tab 12. Deployment to OE-3/OE-4 NOT recommended at concept phase.</t>
        </is>
      </c>
      <c r="E29" s="6" t="inlineStr">
        <is>
          <t>GAP-13482-01..06</t>
        </is>
      </c>
    </row>
    <row r="30">
      <c r="B30" s="16" t="inlineStr">
        <is>
          <t>CONCL</t>
        </is>
      </c>
      <c r="C30" s="28" t="inlineStr">
        <is>
          <t>Conclusion</t>
        </is>
      </c>
      <c r="D30" s="28" t="inlineStr">
        <is>
          <t>Provisional acceptance for OE-1 (lab supervised) only, contingent on closure of high-priority gaps GAP-10218-03 (E-Stop arch), GAP-13849-02 (PL evidence), GAP-13482-01 (force/energy), GAP-13849-03 (validation).</t>
        </is>
      </c>
      <c r="E30" s="6" t="inlineStr"/>
    </row>
  </sheetData>
  <mergeCells count="1">
    <mergeCell ref="B2:E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E1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24" customWidth="1" min="3" max="3"/>
    <col width="50" customWidth="1" min="4" max="4"/>
    <col width="22" customWidth="1" min="5" max="5"/>
  </cols>
  <sheetData>
    <row r="2">
      <c r="B2" s="4" t="inlineStr">
        <is>
          <t>Evidence Register</t>
        </is>
      </c>
    </row>
    <row r="4">
      <c r="A4" s="15" t="inlineStr"/>
      <c r="B4" s="15" t="inlineStr">
        <is>
          <t>ID</t>
        </is>
      </c>
      <c r="C4" s="15" t="inlineStr">
        <is>
          <t>Evidence type</t>
        </is>
      </c>
      <c r="D4" s="15" t="inlineStr">
        <is>
          <t>Description / location</t>
        </is>
      </c>
      <c r="E4" s="15" t="inlineStr">
        <is>
          <t>Linked GSN node</t>
        </is>
      </c>
    </row>
    <row r="5">
      <c r="B5" s="6" t="inlineStr">
        <is>
          <t>EV-IDEF-01</t>
        </is>
      </c>
      <c r="C5" s="6" t="inlineStr">
        <is>
          <t>Item definition</t>
        </is>
      </c>
      <c r="D5" s="6" t="inlineStr">
        <is>
          <t>Tab 03_ItemDef of this workbook</t>
        </is>
      </c>
      <c r="E5" s="6" t="inlineStr">
        <is>
          <t>C1, G2</t>
        </is>
      </c>
    </row>
    <row r="6">
      <c r="B6" s="6" t="inlineStr">
        <is>
          <t>EV-HZ-01</t>
        </is>
      </c>
      <c r="C6" s="6" t="inlineStr">
        <is>
          <t>Hazard catalogue</t>
        </is>
      </c>
      <c r="D6" s="6" t="inlineStr">
        <is>
          <t>Tab 06_Hazards (ISO 12100 Annex B traversal)</t>
        </is>
      </c>
      <c r="E6" s="6" t="inlineStr">
        <is>
          <t>Sn1, G2</t>
        </is>
      </c>
    </row>
    <row r="7">
      <c r="B7" s="6" t="inlineStr">
        <is>
          <t>EV-HZ-02</t>
        </is>
      </c>
      <c r="C7" s="6" t="inlineStr">
        <is>
          <t>Hazard catalogue</t>
        </is>
      </c>
      <c r="D7" s="6" t="inlineStr">
        <is>
          <t>Tab 06_Hazards (ISO 13482 Annex A traversal)</t>
        </is>
      </c>
      <c r="E7" s="6" t="inlineStr">
        <is>
          <t>Sn1, G2</t>
        </is>
      </c>
    </row>
    <row r="8">
      <c r="B8" s="6" t="inlineStr">
        <is>
          <t>EV-HARA-01</t>
        </is>
      </c>
      <c r="C8" s="6" t="inlineStr">
        <is>
          <t>Risk assessment</t>
        </is>
      </c>
      <c r="D8" s="6" t="inlineStr">
        <is>
          <t>Tab 07_HARA (S/F/P risk graph)</t>
        </is>
      </c>
      <c r="E8" s="6" t="inlineStr">
        <is>
          <t>G3</t>
        </is>
      </c>
    </row>
    <row r="9">
      <c r="B9" s="6" t="inlineStr">
        <is>
          <t>EV-PLR-01</t>
        </is>
      </c>
      <c r="C9" s="6" t="inlineStr">
        <is>
          <t>PL target</t>
        </is>
      </c>
      <c r="D9" s="6" t="inlineStr">
        <is>
          <t>Tab 09_FSC col PLr</t>
        </is>
      </c>
      <c r="E9" s="6" t="inlineStr">
        <is>
          <t>G4.1</t>
        </is>
      </c>
    </row>
    <row r="10">
      <c r="B10" s="6" t="inlineStr">
        <is>
          <t>EV-FMEA-01</t>
        </is>
      </c>
      <c r="C10" s="6" t="inlineStr">
        <is>
          <t>System FMEA</t>
        </is>
      </c>
      <c r="D10" s="6" t="inlineStr">
        <is>
          <t>Tab 08_FMEA</t>
        </is>
      </c>
      <c r="E10" s="6" t="inlineStr">
        <is>
          <t>G3.2, G4</t>
        </is>
      </c>
    </row>
    <row r="11">
      <c r="B11" s="6" t="inlineStr">
        <is>
          <t>EV-CAD-01</t>
        </is>
      </c>
      <c r="C11" s="6" t="inlineStr">
        <is>
          <t>Mechanical design</t>
        </is>
      </c>
      <c r="D11" s="6" t="inlineStr">
        <is>
          <t>STEP files in mechanical/ASV1/* (upstream)</t>
        </is>
      </c>
      <c r="E11" s="6" t="inlineStr">
        <is>
          <t>G3.1</t>
        </is>
      </c>
    </row>
    <row r="12">
      <c r="B12" s="6" t="inlineStr">
        <is>
          <t>EV-EE-01</t>
        </is>
      </c>
      <c r="C12" s="6" t="inlineStr">
        <is>
          <t>Electrical schematics</t>
        </is>
      </c>
      <c r="D12" s="6" t="inlineStr">
        <is>
          <t>KiCad sources in electrical/motion_control (upstream)</t>
        </is>
      </c>
      <c r="E12" s="6" t="inlineStr">
        <is>
          <t>G3.1, G4.1</t>
        </is>
      </c>
    </row>
    <row r="13">
      <c r="B13" s="6" t="inlineStr">
        <is>
          <t>EV-SIM-01</t>
        </is>
      </c>
      <c r="C13" s="6" t="inlineStr">
        <is>
          <t>MuJoCo sim model</t>
        </is>
      </c>
      <c r="D13" s="6" t="inlineStr">
        <is>
          <t>sim-model/xmls/asimov.xml (upstream)</t>
        </is>
      </c>
      <c r="E13" s="6" t="inlineStr">
        <is>
          <t>Sn1 (informative)</t>
        </is>
      </c>
    </row>
    <row r="14">
      <c r="B14" s="6" t="inlineStr">
        <is>
          <t>EV-WV-01</t>
        </is>
      </c>
      <c r="C14" s="6" t="inlineStr">
        <is>
          <t>Wiring harness</t>
        </is>
      </c>
      <c r="D14" s="6" t="inlineStr">
        <is>
          <t>WireViz YAML in electrical/wiring (upstream)</t>
        </is>
      </c>
      <c r="E14" s="6" t="inlineStr">
        <is>
          <t>G3.1</t>
        </is>
      </c>
    </row>
    <row r="15">
      <c r="B15" s="6" t="inlineStr">
        <is>
          <t>EV-LIC-01</t>
        </is>
      </c>
      <c r="C15" s="6" t="inlineStr">
        <is>
          <t>Licensing</t>
        </is>
      </c>
      <c r="D15" s="6" t="inlineStr">
        <is>
          <t>HARDWARE-LICENSE.txt (CERN-OHL-S-2.0), SOFTWARE-LICENSE.txt (GPL-2.0)</t>
        </is>
      </c>
      <c r="E15" s="6" t="inlineStr">
        <is>
          <t>Sn5</t>
        </is>
      </c>
    </row>
    <row r="16">
      <c r="B16" s="6" t="inlineStr">
        <is>
          <t>EV-VCS-01</t>
        </is>
      </c>
      <c r="C16" s="6" t="inlineStr">
        <is>
          <t>Document control</t>
        </is>
      </c>
      <c r="D16" s="6" t="inlineStr">
        <is>
          <t>git revision history of jherrodthomas/asimov-v1 fork</t>
        </is>
      </c>
      <c r="E16" s="6" t="inlineStr">
        <is>
          <t>Sn6</t>
        </is>
      </c>
    </row>
  </sheetData>
  <mergeCells count="1">
    <mergeCell ref="B2:E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G3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30" customWidth="1" min="3" max="3"/>
    <col width="50" customWidth="1" min="4" max="4"/>
    <col width="12" customWidth="1" min="5" max="5"/>
    <col width="22" customWidth="1" min="6" max="6"/>
    <col width="14" customWidth="1" min="7" max="7"/>
  </cols>
  <sheetData>
    <row r="2">
      <c r="B2" s="4" t="inlineStr">
        <is>
          <t>Gap Register — work products required to close the safety case</t>
        </is>
      </c>
    </row>
    <row r="4">
      <c r="A4" s="15" t="inlineStr"/>
      <c r="B4" s="15" t="inlineStr">
        <is>
          <t>ID</t>
        </is>
      </c>
      <c r="C4" s="15" t="inlineStr">
        <is>
          <t>Standard / clause</t>
        </is>
      </c>
      <c r="D4" s="15" t="inlineStr">
        <is>
          <t>Gap description</t>
        </is>
      </c>
      <c r="E4" s="15" t="inlineStr">
        <is>
          <t>Severity</t>
        </is>
      </c>
      <c r="F4" s="15" t="inlineStr">
        <is>
          <t>Owner / closure path</t>
        </is>
      </c>
      <c r="G4" s="15" t="inlineStr">
        <is>
          <t>Target rev</t>
        </is>
      </c>
    </row>
    <row r="5">
      <c r="B5" s="6" t="inlineStr">
        <is>
          <t>GAP-12100-01</t>
        </is>
      </c>
      <c r="C5" s="6" t="inlineStr">
        <is>
          <t>ISO 12100 §6.4</t>
        </is>
      </c>
      <c r="D5" s="6" t="inlineStr">
        <is>
          <t>Adequacy-of-risk-reduction record absent for 18 of 32 hazards</t>
        </is>
      </c>
      <c r="E5" s="22" t="inlineStr">
        <is>
          <t>High</t>
        </is>
      </c>
      <c r="F5" s="6" t="inlineStr">
        <is>
          <t>Project safety officer</t>
        </is>
      </c>
      <c r="G5" s="6" t="inlineStr">
        <is>
          <t>1.0</t>
        </is>
      </c>
    </row>
    <row r="6">
      <c r="B6" s="6" t="inlineStr">
        <is>
          <t>GAP-12100-02</t>
        </is>
      </c>
      <c r="C6" s="6" t="inlineStr">
        <is>
          <t>ISO 12100 §6.5.3</t>
        </is>
      </c>
      <c r="D6" s="6" t="inlineStr">
        <is>
          <t>Information for use (warnings, residual-risk manual) not published</t>
        </is>
      </c>
      <c r="E6" s="21" t="inlineStr">
        <is>
          <t>Med</t>
        </is>
      </c>
      <c r="F6" s="6" t="inlineStr">
        <is>
          <t>Tech writer / docs</t>
        </is>
      </c>
      <c r="G6" s="6" t="inlineStr">
        <is>
          <t>0.5</t>
        </is>
      </c>
    </row>
    <row r="7">
      <c r="B7" s="6" t="inlineStr">
        <is>
          <t>GAP-10218-01</t>
        </is>
      </c>
      <c r="C7" s="6" t="inlineStr">
        <is>
          <t>ISO 10218-1 §5</t>
        </is>
      </c>
      <c r="D7" s="6" t="inlineStr">
        <is>
          <t>Single-fault tolerance not demonstrated in any safety function</t>
        </is>
      </c>
      <c r="E7" s="22" t="inlineStr">
        <is>
          <t>High</t>
        </is>
      </c>
      <c r="F7" s="6" t="inlineStr">
        <is>
          <t>FW + EE</t>
        </is>
      </c>
      <c r="G7" s="6" t="inlineStr">
        <is>
          <t>1.0</t>
        </is>
      </c>
    </row>
    <row r="8">
      <c r="B8" s="6" t="inlineStr">
        <is>
          <t>GAP-10218-02</t>
        </is>
      </c>
      <c r="C8" s="6" t="inlineStr">
        <is>
          <t>ISO 10218-1 §5.4</t>
        </is>
      </c>
      <c r="D8" s="6" t="inlineStr">
        <is>
          <t>Validation evidence for safety control system (PLd / Cat 3) absent</t>
        </is>
      </c>
      <c r="E8" s="22" t="inlineStr">
        <is>
          <t>High</t>
        </is>
      </c>
      <c r="F8" s="6" t="inlineStr">
        <is>
          <t>FW + EE + Test</t>
        </is>
      </c>
      <c r="G8" s="6" t="inlineStr">
        <is>
          <t>1.0</t>
        </is>
      </c>
    </row>
    <row r="9">
      <c r="B9" s="6" t="inlineStr">
        <is>
          <t>GAP-10218-03</t>
        </is>
      </c>
      <c r="C9" s="6" t="inlineStr">
        <is>
          <t>ISO 10218-1 §5.5.3</t>
        </is>
      </c>
      <c r="D9" s="6" t="inlineStr">
        <is>
          <t>E-Stop architecture undocumented (Cat 0/1, dual-channel)</t>
        </is>
      </c>
      <c r="E9" s="22" t="inlineStr">
        <is>
          <t>VHigh</t>
        </is>
      </c>
      <c r="F9" s="6" t="inlineStr">
        <is>
          <t>EE + FW</t>
        </is>
      </c>
      <c r="G9" s="6" t="inlineStr">
        <is>
          <t>0.5</t>
        </is>
      </c>
    </row>
    <row r="10">
      <c r="B10" s="6" t="inlineStr">
        <is>
          <t>GAP-15066-01</t>
        </is>
      </c>
      <c r="C10" s="6" t="inlineStr">
        <is>
          <t>ISO/TS 15066</t>
        </is>
      </c>
      <c r="D10" s="6" t="inlineStr">
        <is>
          <t>Power-and-Force Limiting (PFL) thresholds not declared</t>
        </is>
      </c>
      <c r="E10" s="22" t="inlineStr">
        <is>
          <t>High</t>
        </is>
      </c>
      <c r="F10" s="6" t="inlineStr">
        <is>
          <t>Systems eng</t>
        </is>
      </c>
      <c r="G10" s="6" t="inlineStr">
        <is>
          <t>1.0</t>
        </is>
      </c>
    </row>
    <row r="11">
      <c r="B11" s="6" t="inlineStr">
        <is>
          <t>GAP-13849-01</t>
        </is>
      </c>
      <c r="C11" s="6" t="inlineStr">
        <is>
          <t>ISO 13849-1 §6</t>
        </is>
      </c>
      <c r="D11" s="6" t="inlineStr">
        <is>
          <t>Category architecture (Cat 3 redundancy) not implemented for SF-01..04,08,13,15,20,23,24</t>
        </is>
      </c>
      <c r="E11" s="22" t="inlineStr">
        <is>
          <t>VHigh</t>
        </is>
      </c>
      <c r="F11" s="6" t="inlineStr">
        <is>
          <t>EE + FW</t>
        </is>
      </c>
      <c r="G11" s="6" t="inlineStr">
        <is>
          <t>1.0</t>
        </is>
      </c>
    </row>
    <row r="12">
      <c r="B12" s="6" t="inlineStr">
        <is>
          <t>GAP-13849-02</t>
        </is>
      </c>
      <c r="C12" s="6" t="inlineStr">
        <is>
          <t>ISO 13849-1 §7</t>
        </is>
      </c>
      <c r="D12" s="6" t="inlineStr">
        <is>
          <t>MTTFD / DC / CCF figures absent — PL achievable cannot be computed</t>
        </is>
      </c>
      <c r="E12" s="22" t="inlineStr">
        <is>
          <t>VHigh</t>
        </is>
      </c>
      <c r="F12" s="6" t="inlineStr">
        <is>
          <t>Systems eng + suppliers</t>
        </is>
      </c>
      <c r="G12" s="6" t="inlineStr">
        <is>
          <t>1.0</t>
        </is>
      </c>
    </row>
    <row r="13">
      <c r="B13" s="6" t="inlineStr">
        <is>
          <t>GAP-13849-03</t>
        </is>
      </c>
      <c r="C13" s="6" t="inlineStr">
        <is>
          <t>ISO 13849-2</t>
        </is>
      </c>
      <c r="D13" s="6" t="inlineStr">
        <is>
          <t>Validation plan &amp; test report missing for every safety function</t>
        </is>
      </c>
      <c r="E13" s="22" t="inlineStr">
        <is>
          <t>VHigh</t>
        </is>
      </c>
      <c r="F13" s="6" t="inlineStr">
        <is>
          <t>Test eng</t>
        </is>
      </c>
      <c r="G13" s="6" t="inlineStr">
        <is>
          <t>1.0</t>
        </is>
      </c>
    </row>
    <row r="14">
      <c r="B14" s="6" t="inlineStr">
        <is>
          <t>GAP-13482-01</t>
        </is>
      </c>
      <c r="C14" s="6" t="inlineStr">
        <is>
          <t>ISO 13482 §5.7</t>
        </is>
      </c>
      <c r="D14" s="6" t="inlineStr">
        <is>
          <t>Force/energy limits (contact area, pressure, peak energy) not declared</t>
        </is>
      </c>
      <c r="E14" s="22" t="inlineStr">
        <is>
          <t>VHigh</t>
        </is>
      </c>
      <c r="F14" s="6" t="inlineStr">
        <is>
          <t>Systems eng</t>
        </is>
      </c>
      <c r="G14" s="6" t="inlineStr">
        <is>
          <t>0.9</t>
        </is>
      </c>
    </row>
    <row r="15">
      <c r="B15" s="6" t="inlineStr">
        <is>
          <t>GAP-13482-02</t>
        </is>
      </c>
      <c r="C15" s="6" t="inlineStr">
        <is>
          <t>ISO 13482 §5.10</t>
        </is>
      </c>
      <c r="D15" s="6" t="inlineStr">
        <is>
          <t>Joint speed/torque/momentum limits not published</t>
        </is>
      </c>
      <c r="E15" s="22" t="inlineStr">
        <is>
          <t>High</t>
        </is>
      </c>
      <c r="F15" s="6" t="inlineStr">
        <is>
          <t>Systems eng + FW</t>
        </is>
      </c>
      <c r="G15" s="6" t="inlineStr">
        <is>
          <t>0.5</t>
        </is>
      </c>
    </row>
    <row r="16">
      <c r="B16" s="6" t="inlineStr">
        <is>
          <t>GAP-13482-03</t>
        </is>
      </c>
      <c r="C16" s="6" t="inlineStr">
        <is>
          <t>ISO 13482 §5.13</t>
        </is>
      </c>
      <c r="D16" s="6" t="inlineStr">
        <is>
          <t>Tip-over / stability analysis not performed</t>
        </is>
      </c>
      <c r="E16" s="22" t="inlineStr">
        <is>
          <t>High</t>
        </is>
      </c>
      <c r="F16" s="6" t="inlineStr">
        <is>
          <t>Mech eng</t>
        </is>
      </c>
      <c r="G16" s="6" t="inlineStr">
        <is>
          <t>0.7</t>
        </is>
      </c>
    </row>
    <row r="17">
      <c r="B17" s="6" t="inlineStr">
        <is>
          <t>GAP-13482-04</t>
        </is>
      </c>
      <c r="C17" s="6" t="inlineStr">
        <is>
          <t>ISO 13482 §5.16</t>
        </is>
      </c>
      <c r="D17" s="6" t="inlineStr">
        <is>
          <t>Wireless E-Stop architecture, latency, link surveillance, fail-safe</t>
        </is>
      </c>
      <c r="E17" s="22" t="inlineStr">
        <is>
          <t>VHigh</t>
        </is>
      </c>
      <c r="F17" s="6" t="inlineStr">
        <is>
          <t>EE + FW</t>
        </is>
      </c>
      <c r="G17" s="6" t="inlineStr">
        <is>
          <t>0.5</t>
        </is>
      </c>
    </row>
    <row r="18">
      <c r="B18" s="6" t="inlineStr">
        <is>
          <t>GAP-13482-05</t>
        </is>
      </c>
      <c r="C18" s="6" t="inlineStr">
        <is>
          <t>ISO 13482 §6</t>
        </is>
      </c>
      <c r="D18" s="6" t="inlineStr">
        <is>
          <t>Safety-related control system implementation gaps (inherits 13849)</t>
        </is>
      </c>
      <c r="E18" s="22" t="inlineStr">
        <is>
          <t>VHigh</t>
        </is>
      </c>
      <c r="F18" s="6" t="inlineStr">
        <is>
          <t>FW + EE</t>
        </is>
      </c>
      <c r="G18" s="6" t="inlineStr">
        <is>
          <t>1.0</t>
        </is>
      </c>
    </row>
    <row r="19">
      <c r="B19" s="6" t="inlineStr">
        <is>
          <t>GAP-13482-06</t>
        </is>
      </c>
      <c r="C19" s="6" t="inlineStr">
        <is>
          <t>ISO 13482 §7</t>
        </is>
      </c>
      <c r="D19" s="6" t="inlineStr">
        <is>
          <t>V&amp;V plan and report not produced</t>
        </is>
      </c>
      <c r="E19" s="22" t="inlineStr">
        <is>
          <t>VHigh</t>
        </is>
      </c>
      <c r="F19" s="6" t="inlineStr">
        <is>
          <t>Test eng</t>
        </is>
      </c>
      <c r="G19" s="6" t="inlineStr">
        <is>
          <t>1.0</t>
        </is>
      </c>
    </row>
    <row r="20">
      <c r="B20" s="6" t="inlineStr">
        <is>
          <t>GAP-9001-01</t>
        </is>
      </c>
      <c r="C20" s="6" t="inlineStr">
        <is>
          <t>ISO 9001 §7.5</t>
        </is>
      </c>
      <c r="D20" s="6" t="inlineStr">
        <is>
          <t>Records of test, calibration, non-conformance not maintained</t>
        </is>
      </c>
      <c r="E20" s="21" t="inlineStr">
        <is>
          <t>Med</t>
        </is>
      </c>
      <c r="F20" s="6" t="inlineStr">
        <is>
          <t>QMS lead</t>
        </is>
      </c>
      <c r="G20" s="6" t="inlineStr">
        <is>
          <t>0.7</t>
        </is>
      </c>
    </row>
    <row r="21">
      <c r="B21" s="6" t="inlineStr">
        <is>
          <t>GAP-9001-02</t>
        </is>
      </c>
      <c r="C21" s="6" t="inlineStr">
        <is>
          <t>ISO 9001 §8.3</t>
        </is>
      </c>
      <c r="D21" s="6" t="inlineStr">
        <is>
          <t>Design review records, design verification evidence absent</t>
        </is>
      </c>
      <c r="E21" s="21" t="inlineStr">
        <is>
          <t>Med</t>
        </is>
      </c>
      <c r="F21" s="6" t="inlineStr">
        <is>
          <t>QMS + Eng</t>
        </is>
      </c>
      <c r="G21" s="6" t="inlineStr">
        <is>
          <t>0.7</t>
        </is>
      </c>
    </row>
    <row r="22">
      <c r="B22" s="6" t="inlineStr">
        <is>
          <t>GAP-9001-03</t>
        </is>
      </c>
      <c r="C22" s="6" t="inlineStr">
        <is>
          <t>ISO 9001 §8.5.1</t>
        </is>
      </c>
      <c r="D22" s="6" t="inlineStr">
        <is>
          <t>Production process controls undeclared for DIY-kit assembly</t>
        </is>
      </c>
      <c r="E22" s="21" t="inlineStr">
        <is>
          <t>Med</t>
        </is>
      </c>
      <c r="F22" s="6" t="inlineStr">
        <is>
          <t>QMS + Ops</t>
        </is>
      </c>
      <c r="G22" s="6" t="inlineStr">
        <is>
          <t>1.0</t>
        </is>
      </c>
    </row>
    <row r="23">
      <c r="B23" s="6" t="inlineStr">
        <is>
          <t>GAP-9001-04</t>
        </is>
      </c>
      <c r="C23" s="6" t="inlineStr">
        <is>
          <t>ISO 9001 §8.7</t>
        </is>
      </c>
      <c r="D23" s="6" t="inlineStr">
        <is>
          <t>Nonconformance procedure absent</t>
        </is>
      </c>
      <c r="E23" s="21" t="inlineStr">
        <is>
          <t>Med</t>
        </is>
      </c>
      <c r="F23" s="6" t="inlineStr">
        <is>
          <t>QMS</t>
        </is>
      </c>
      <c r="G23" s="6" t="inlineStr">
        <is>
          <t>1.0</t>
        </is>
      </c>
    </row>
    <row r="24">
      <c r="B24" s="6" t="inlineStr">
        <is>
          <t>GAP-9001-05</t>
        </is>
      </c>
      <c r="C24" s="6" t="inlineStr">
        <is>
          <t>ISO 9001 §9.1</t>
        </is>
      </c>
      <c r="D24" s="6" t="inlineStr">
        <is>
          <t>Internal audit / monitoring not in place</t>
        </is>
      </c>
      <c r="E24" s="20" t="inlineStr">
        <is>
          <t>Low</t>
        </is>
      </c>
      <c r="F24" s="6" t="inlineStr">
        <is>
          <t>QMS</t>
        </is>
      </c>
      <c r="G24" s="6" t="inlineStr">
        <is>
          <t>1.0</t>
        </is>
      </c>
    </row>
    <row r="25">
      <c r="B25" s="6" t="inlineStr">
        <is>
          <t>GAP-9001-06</t>
        </is>
      </c>
      <c r="C25" s="6" t="inlineStr">
        <is>
          <t>ISO 9001 §10.2</t>
        </is>
      </c>
      <c r="D25" s="6" t="inlineStr">
        <is>
          <t>CAR / corrective action system absent</t>
        </is>
      </c>
      <c r="E25" s="20" t="inlineStr">
        <is>
          <t>Low</t>
        </is>
      </c>
      <c r="F25" s="6" t="inlineStr">
        <is>
          <t>QMS</t>
        </is>
      </c>
      <c r="G25" s="6" t="inlineStr">
        <is>
          <t>1.0</t>
        </is>
      </c>
    </row>
    <row r="26">
      <c r="B26" s="6" t="inlineStr">
        <is>
          <t>GAP-60204-01</t>
        </is>
      </c>
      <c r="C26" s="6" t="inlineStr">
        <is>
          <t>IEC 60204-1 §5.3</t>
        </is>
      </c>
      <c r="D26" s="6" t="inlineStr">
        <is>
          <t>No lockable supply-disconnector specified</t>
        </is>
      </c>
      <c r="E26" s="21" t="inlineStr">
        <is>
          <t>Med</t>
        </is>
      </c>
      <c r="F26" s="6" t="inlineStr">
        <is>
          <t>EE</t>
        </is>
      </c>
      <c r="G26" s="6" t="inlineStr">
        <is>
          <t>0.7</t>
        </is>
      </c>
    </row>
    <row r="27">
      <c r="B27" s="6" t="inlineStr">
        <is>
          <t>GAP-60204-02</t>
        </is>
      </c>
      <c r="C27" s="6" t="inlineStr">
        <is>
          <t>IEC 60204-1 §9.4</t>
        </is>
      </c>
      <c r="D27" s="6" t="inlineStr">
        <is>
          <t>Inherits ISO 13849 gaps</t>
        </is>
      </c>
      <c r="E27" s="21" t="inlineStr">
        <is>
          <t>Med</t>
        </is>
      </c>
      <c r="F27" s="6" t="inlineStr">
        <is>
          <t>FW + EE</t>
        </is>
      </c>
      <c r="G27" s="6" t="inlineStr">
        <is>
          <t>1.0</t>
        </is>
      </c>
    </row>
    <row r="28">
      <c r="B28" s="6" t="inlineStr">
        <is>
          <t>GAP-DOC-01</t>
        </is>
      </c>
      <c r="C28" s="6" t="inlineStr">
        <is>
          <t>(this case)</t>
        </is>
      </c>
      <c r="D28" s="6" t="inlineStr">
        <is>
          <t>Manual subpages /v1/safety, /v1/quickstart, /v1/bom return 404</t>
        </is>
      </c>
      <c r="E28" s="22" t="inlineStr">
        <is>
          <t>High</t>
        </is>
      </c>
      <c r="F28" s="6" t="inlineStr">
        <is>
          <t>Docs</t>
        </is>
      </c>
      <c r="G28" s="6" t="inlineStr">
        <is>
          <t>0.5</t>
        </is>
      </c>
    </row>
    <row r="29">
      <c r="B29" s="6" t="inlineStr">
        <is>
          <t>GAP-CYB-01</t>
        </is>
      </c>
      <c r="C29" s="6" t="inlineStr">
        <is>
          <t>ISO 21434 (ref.)</t>
        </is>
      </c>
      <c r="D29" s="6" t="inlineStr">
        <is>
          <t>Tele-op authentication scheme not documented</t>
        </is>
      </c>
      <c r="E29" s="22" t="inlineStr">
        <is>
          <t>High</t>
        </is>
      </c>
      <c r="F29" s="6" t="inlineStr">
        <is>
          <t>FW / cloud</t>
        </is>
      </c>
      <c r="G29" s="6" t="inlineStr">
        <is>
          <t>0.7</t>
        </is>
      </c>
    </row>
    <row r="30">
      <c r="B30" s="6" t="inlineStr">
        <is>
          <t>GAP-BMS-01</t>
        </is>
      </c>
      <c r="C30" s="6" t="inlineStr">
        <is>
          <t>IEC 62133-2 ref.</t>
        </is>
      </c>
      <c r="D30" s="6" t="inlineStr">
        <is>
          <t>Battery is user-supplied — no compliance gate on what's installed</t>
        </is>
      </c>
      <c r="E30" s="22" t="inlineStr">
        <is>
          <t>VHigh</t>
        </is>
      </c>
      <c r="F30" s="6" t="inlineStr">
        <is>
          <t>Kit policy + docs</t>
        </is>
      </c>
      <c r="G30" s="6" t="inlineStr">
        <is>
          <t>0.5</t>
        </is>
      </c>
    </row>
    <row r="31">
      <c r="B31" s="6" t="inlineStr">
        <is>
          <t>GAP-LP-01</t>
        </is>
      </c>
      <c r="C31" s="6" t="inlineStr">
        <is>
          <t>(this case)</t>
        </is>
      </c>
      <c r="D31" s="6" t="inlineStr">
        <is>
          <t>No locomotion policy yet — assumption blank cheque</t>
        </is>
      </c>
      <c r="E31" s="22" t="inlineStr">
        <is>
          <t>VHigh</t>
        </is>
      </c>
      <c r="F31" s="6" t="inlineStr">
        <is>
          <t>Robotics team</t>
        </is>
      </c>
      <c r="G31" s="6" t="inlineStr">
        <is>
          <t>0.9</t>
        </is>
      </c>
    </row>
    <row r="32">
      <c r="B32" s="6" t="inlineStr">
        <is>
          <t>GAP-API-01</t>
        </is>
      </c>
      <c r="C32" s="6" t="inlineStr">
        <is>
          <t>(this case)</t>
        </is>
      </c>
      <c r="D32" s="6" t="inlineStr">
        <is>
          <t>Asimov API spec marked '🔜' — interface contract unstable</t>
        </is>
      </c>
      <c r="E32" s="22" t="inlineStr">
        <is>
          <t>High</t>
        </is>
      </c>
      <c r="F32" s="6" t="inlineStr">
        <is>
          <t>API team</t>
        </is>
      </c>
      <c r="G32" s="6" t="inlineStr">
        <is>
          <t>0.7</t>
        </is>
      </c>
    </row>
  </sheetData>
  <mergeCells count="1">
    <mergeCell ref="B2:G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D1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60" customWidth="1" min="3" max="3"/>
    <col width="22" customWidth="1" min="4" max="4"/>
  </cols>
  <sheetData>
    <row r="2">
      <c r="B2" s="4" t="inlineStr">
        <is>
          <t>Assumptions &amp; Open Issues</t>
        </is>
      </c>
    </row>
    <row r="4">
      <c r="A4" s="15" t="inlineStr"/>
      <c r="B4" s="15" t="inlineStr">
        <is>
          <t>ID</t>
        </is>
      </c>
      <c r="C4" s="15" t="inlineStr">
        <is>
          <t>Assumption / open issue</t>
        </is>
      </c>
      <c r="D4" s="15" t="inlineStr">
        <is>
          <t>Owner / acceptance</t>
        </is>
      </c>
    </row>
    <row r="5">
      <c r="B5" s="6" t="inlineStr">
        <is>
          <t>ASS-A-01</t>
        </is>
      </c>
      <c r="C5" s="6" t="inlineStr">
        <is>
          <t>Operator is trained and within E-Stop range at all times in MOVE.</t>
        </is>
      </c>
      <c r="D5" s="6" t="inlineStr">
        <is>
          <t>Deploying organisation</t>
        </is>
      </c>
    </row>
    <row r="6">
      <c r="B6" s="6" t="inlineStr">
        <is>
          <t>ASS-A-02</t>
        </is>
      </c>
      <c r="C6" s="6" t="inlineStr">
        <is>
          <t>Battery, when fitted, is UN 38.3 / IEC 62133-2 compliant Li-ion with integrated BMS.</t>
        </is>
      </c>
      <c r="D6" s="6" t="inlineStr">
        <is>
          <t>Deploying organisation</t>
        </is>
      </c>
    </row>
    <row r="7">
      <c r="B7" s="6" t="inlineStr">
        <is>
          <t>ASS-A-03</t>
        </is>
      </c>
      <c r="C7" s="6" t="inlineStr">
        <is>
          <t>Structure is genuine 7075 Al and MJF PA12; no substitutions during DIY build.</t>
        </is>
      </c>
      <c r="D7" s="6" t="inlineStr">
        <is>
          <t>Builder</t>
        </is>
      </c>
    </row>
    <row r="8">
      <c r="B8" s="6" t="inlineStr">
        <is>
          <t>ASS-A-04</t>
        </is>
      </c>
      <c r="C8" s="6" t="inlineStr">
        <is>
          <t>CAN harness built per WireViz with correct termination and crimp.</t>
        </is>
      </c>
      <c r="D8" s="6" t="inlineStr">
        <is>
          <t>Builder</t>
        </is>
      </c>
    </row>
    <row r="9">
      <c r="B9" s="6" t="inlineStr">
        <is>
          <t>ASS-A-05</t>
        </is>
      </c>
      <c r="C9" s="6" t="inlineStr">
        <is>
          <t>Operating surface is level (≤5°), dry and free of obstacles.</t>
        </is>
      </c>
      <c r="D9" s="6" t="inlineStr">
        <is>
          <t>Operator</t>
        </is>
      </c>
    </row>
    <row r="10">
      <c r="B10" s="6" t="inlineStr">
        <is>
          <t>ASS-A-06</t>
        </is>
      </c>
      <c r="C10" s="6" t="inlineStr">
        <is>
          <t>No human body part enters swept volume of any actuated joint while M-02 / M-03.</t>
        </is>
      </c>
      <c r="D10" s="6" t="inlineStr">
        <is>
          <t>Operator</t>
        </is>
      </c>
    </row>
    <row r="11">
      <c r="B11" s="6" t="inlineStr">
        <is>
          <t>ASS-A-07</t>
        </is>
      </c>
      <c r="C11" s="6" t="inlineStr">
        <is>
          <t>Robot is NOT a medical device, child-care robot, or load-bearing person-carrier.</t>
        </is>
      </c>
      <c r="D11" s="6" t="inlineStr">
        <is>
          <t>Project</t>
        </is>
      </c>
    </row>
    <row r="12">
      <c r="B12" s="6" t="inlineStr">
        <is>
          <t>OI-01</t>
        </is>
      </c>
      <c r="C12" s="6" t="inlineStr">
        <is>
          <t>Locomotion policy unreleased — top-of-tree controller behaviour is undefined.</t>
        </is>
      </c>
      <c r="D12" s="6" t="inlineStr">
        <is>
          <t>Robotics team</t>
        </is>
      </c>
    </row>
    <row r="13">
      <c r="B13" s="6" t="inlineStr">
        <is>
          <t>OI-02</t>
        </is>
      </c>
      <c r="C13" s="6" t="inlineStr">
        <is>
          <t>Asimov API contract is pre-1.0 — breaking changes possible.</t>
        </is>
      </c>
      <c r="D13" s="6" t="inlineStr">
        <is>
          <t>API team</t>
        </is>
      </c>
    </row>
    <row r="14">
      <c r="B14" s="6" t="inlineStr">
        <is>
          <t>OI-03</t>
        </is>
      </c>
      <c r="C14" s="6" t="inlineStr">
        <is>
          <t>Wireless E-Stop link technology, encryption, and fault behaviour are undocumented.</t>
        </is>
      </c>
      <c r="D14" s="6" t="inlineStr">
        <is>
          <t>EE team</t>
        </is>
      </c>
    </row>
    <row r="15">
      <c r="B15" s="6" t="inlineStr">
        <is>
          <t>OI-04</t>
        </is>
      </c>
      <c r="C15" s="6" t="inlineStr">
        <is>
          <t>Manual sub-pages /v1/safety, /v1/quickstart, /v1/bom return 404 at time of writing.</t>
        </is>
      </c>
      <c r="D15" s="6" t="inlineStr">
        <is>
          <t>Docs</t>
        </is>
      </c>
    </row>
    <row r="16">
      <c r="B16" s="6" t="inlineStr">
        <is>
          <t>OI-05</t>
        </is>
      </c>
      <c r="C16" s="6" t="inlineStr">
        <is>
          <t>DIY-kit ships without battery — what users will install is uncontrolled.</t>
        </is>
      </c>
      <c r="D16" s="6" t="inlineStr">
        <is>
          <t>Kit policy</t>
        </is>
      </c>
    </row>
  </sheetData>
  <mergeCells count="1">
    <mergeCell ref="B2:D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2:C2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80" customWidth="1" min="3" max="3"/>
  </cols>
  <sheetData>
    <row r="2">
      <c r="B2" s="4" t="inlineStr">
        <is>
          <t>References</t>
        </is>
      </c>
    </row>
    <row r="4">
      <c r="A4" s="15" t="inlineStr"/>
      <c r="B4" s="15" t="inlineStr">
        <is>
          <t>Reference</t>
        </is>
      </c>
      <c r="C4" s="15" t="inlineStr">
        <is>
          <t>Title</t>
        </is>
      </c>
    </row>
    <row r="5">
      <c r="B5" s="6" t="inlineStr">
        <is>
          <t>ISO 12100:2010</t>
        </is>
      </c>
      <c r="C5" s="6" t="inlineStr">
        <is>
          <t>Safety of machinery — General principles for design — Risk assessment and risk reduction</t>
        </is>
      </c>
    </row>
    <row r="6">
      <c r="B6" s="6" t="inlineStr">
        <is>
          <t>ISO 10218-1:2011</t>
        </is>
      </c>
      <c r="C6" s="6" t="inlineStr">
        <is>
          <t>Robots and robotic devices — Safety requirements for industrial robots — Part 1</t>
        </is>
      </c>
    </row>
    <row r="7">
      <c r="B7" s="6" t="inlineStr">
        <is>
          <t>ISO 10218-2:2011</t>
        </is>
      </c>
      <c r="C7" s="6" t="inlineStr">
        <is>
          <t>Robots and robotic devices — Safety requirements — Part 2: Robot system and integration</t>
        </is>
      </c>
    </row>
    <row r="8">
      <c r="B8" s="6" t="inlineStr">
        <is>
          <t>ISO/TS 15066:2016</t>
        </is>
      </c>
      <c r="C8" s="6" t="inlineStr">
        <is>
          <t>Robots and robotic devices — Collaborative robots</t>
        </is>
      </c>
    </row>
    <row r="9">
      <c r="B9" s="6" t="inlineStr">
        <is>
          <t>ISO 13849-1:2023</t>
        </is>
      </c>
      <c r="C9" s="6" t="inlineStr">
        <is>
          <t>Safety of machinery — Safety-related parts of control systems — Part 1: General principles</t>
        </is>
      </c>
    </row>
    <row r="10">
      <c r="B10" s="6" t="inlineStr">
        <is>
          <t>ISO 13849-2:2012</t>
        </is>
      </c>
      <c r="C10" s="6" t="inlineStr">
        <is>
          <t>Safety of machinery — Safety-related parts of control systems — Part 2: Validation</t>
        </is>
      </c>
    </row>
    <row r="11">
      <c r="B11" s="6" t="inlineStr">
        <is>
          <t>ISO 13482:2014</t>
        </is>
      </c>
      <c r="C11" s="6" t="inlineStr">
        <is>
          <t>Robots and robotic devices — Safety requirements for personal care robots</t>
        </is>
      </c>
    </row>
    <row r="12">
      <c r="B12" s="6" t="inlineStr">
        <is>
          <t>ISO 9001:2015</t>
        </is>
      </c>
      <c r="C12" s="6" t="inlineStr">
        <is>
          <t>Quality management systems — Requirements</t>
        </is>
      </c>
    </row>
    <row r="13">
      <c r="B13" s="6" t="inlineStr">
        <is>
          <t>IEC 60204-1:2018</t>
        </is>
      </c>
      <c r="C13" s="6" t="inlineStr">
        <is>
          <t>Safety of machinery — Electrical equipment of machines — Part 1: General requirements</t>
        </is>
      </c>
    </row>
    <row r="14">
      <c r="B14" s="6" t="inlineStr">
        <is>
          <t>IEC 62133-2:2017</t>
        </is>
      </c>
      <c r="C14" s="6" t="inlineStr">
        <is>
          <t>Secondary cells &amp; batteries containing alkaline / non-acid electrolytes — Lithium systems</t>
        </is>
      </c>
    </row>
    <row r="15">
      <c r="B15" s="6" t="inlineStr">
        <is>
          <t>ISO 14971:2019</t>
        </is>
      </c>
      <c r="C15" s="6" t="inlineStr">
        <is>
          <t>Application of risk management to medical devices (technique reference only)</t>
        </is>
      </c>
    </row>
    <row r="16">
      <c r="B16" s="6" t="inlineStr">
        <is>
          <t>UN Manual 38.3</t>
        </is>
      </c>
      <c r="C16" s="6" t="inlineStr">
        <is>
          <t>UN Recommendations on the Transport of Dangerous Goods — Lithium Battery Tests</t>
        </is>
      </c>
    </row>
    <row r="17">
      <c r="B17" s="6" t="inlineStr">
        <is>
          <t>Asimov v1 repo</t>
        </is>
      </c>
      <c r="C17" s="6" t="inlineStr">
        <is>
          <t>https://github.com/jherrodthomas/asimov-v1 (fork of asimovinc/asimov-v1)</t>
        </is>
      </c>
    </row>
    <row r="18">
      <c r="B18" s="6" t="inlineStr">
        <is>
          <t>Asimov v1 manual</t>
        </is>
      </c>
      <c r="C18" s="6" t="inlineStr">
        <is>
          <t>https://manual.asimov.inc/v1</t>
        </is>
      </c>
    </row>
    <row r="19">
      <c r="B19" s="6" t="inlineStr">
        <is>
          <t>CERN-OHL-S-2.0</t>
        </is>
      </c>
      <c r="C19" s="6" t="inlineStr">
        <is>
          <t>Open Hardware Licence (Strongly Reciprocal)</t>
        </is>
      </c>
    </row>
    <row r="20">
      <c r="B20" s="6" t="inlineStr">
        <is>
          <t>GPL-2.0</t>
        </is>
      </c>
      <c r="C20" s="6" t="inlineStr">
        <is>
          <t>GNU General Public License v2.0</t>
        </is>
      </c>
    </row>
  </sheetData>
  <mergeCells count="1"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2026-05-03T12:27:00Z</dcterms:created>
  <dcterms:modified xmlns:dcterms="http://purl.org/dc/terms/" xmlns:xsi="http://www.w3.org/2001/XMLSchema-instance" xsi:type="dcterms:W3CDTF">2026-05-03T12:27:00Z</dcterms:modified>
</cp:coreProperties>
</file>